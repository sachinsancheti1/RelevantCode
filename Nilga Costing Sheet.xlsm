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oogle Drive\Relevant Code\"/>
    </mc:Choice>
  </mc:AlternateContent>
  <xr:revisionPtr revIDLastSave="0" documentId="13_ncr:1_{ABF740A8-CA38-45B8-A877-9BED465AE1B0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Costing Sheet" sheetId="1" r:id="rId1"/>
    <sheet name="Cloth Cost" sheetId="2" r:id="rId2"/>
    <sheet name="Production Cost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48576" i="1" l="1"/>
  <c r="D1048576" i="1"/>
  <c r="E1048576" i="1"/>
  <c r="F104857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1048576" i="1" l="1"/>
</calcChain>
</file>

<file path=xl/sharedStrings.xml><?xml version="1.0" encoding="utf-8"?>
<sst xmlns="http://schemas.openxmlformats.org/spreadsheetml/2006/main" count="107" uniqueCount="96">
  <si>
    <t>Name of Product</t>
  </si>
  <si>
    <t>Cloth Used</t>
  </si>
  <si>
    <t>Cost of Cloth</t>
  </si>
  <si>
    <t>Cutting</t>
  </si>
  <si>
    <t>Tailoring</t>
  </si>
  <si>
    <t>Finishing</t>
  </si>
  <si>
    <t>Other Inputs</t>
  </si>
  <si>
    <t>36" Black</t>
  </si>
  <si>
    <t>36" OG Battalion</t>
  </si>
  <si>
    <t>36" OG Checks</t>
  </si>
  <si>
    <t>36" OG Military</t>
  </si>
  <si>
    <t>36" OG Surya</t>
  </si>
  <si>
    <t>36" OG Surya Military</t>
  </si>
  <si>
    <t>36" White</t>
  </si>
  <si>
    <t>37" Small Checks</t>
  </si>
  <si>
    <t>40" Infantry</t>
  </si>
  <si>
    <t>40" Infantry Checks</t>
  </si>
  <si>
    <t>48" White</t>
  </si>
  <si>
    <t>60" Premium Bright</t>
  </si>
  <si>
    <t>60" OG Premium</t>
  </si>
  <si>
    <t>60" White</t>
  </si>
  <si>
    <t>72" OG Checks</t>
  </si>
  <si>
    <t>72" OG Premium</t>
  </si>
  <si>
    <t>72" Premium Bright</t>
  </si>
  <si>
    <t>72" White</t>
  </si>
  <si>
    <t>74" Trojan(Big Checks)</t>
  </si>
  <si>
    <t>77" OG Checks</t>
  </si>
  <si>
    <t>80" White</t>
  </si>
  <si>
    <t>Black Net</t>
  </si>
  <si>
    <t>Black Suiting</t>
  </si>
  <si>
    <t>Gada</t>
  </si>
  <si>
    <t>Khaki Fabric</t>
  </si>
  <si>
    <t>Mapsa green</t>
  </si>
  <si>
    <t>Mapsa OG</t>
  </si>
  <si>
    <t>N/C Royal Blue</t>
  </si>
  <si>
    <t>N/C Royal Green</t>
  </si>
  <si>
    <t>N/C Royal Grey</t>
  </si>
  <si>
    <t>N/C Royal Red</t>
  </si>
  <si>
    <t>Navy Suiting</t>
  </si>
  <si>
    <t>Off White</t>
  </si>
  <si>
    <t>Total COP</t>
  </si>
  <si>
    <t>TO UPDATE CELLS AND VALUES PRESS: Ctrl + u</t>
  </si>
  <si>
    <t>Selling Name</t>
  </si>
  <si>
    <t>Riverside School Bag</t>
  </si>
  <si>
    <t>Tent</t>
  </si>
  <si>
    <t>Carpet Bin</t>
  </si>
  <si>
    <t>Mattress Bin(2 &amp; 4 bed)</t>
  </si>
  <si>
    <t>Machine Cover</t>
  </si>
  <si>
    <t>Bike Cover</t>
  </si>
  <si>
    <t>F/S-S/C without pocket</t>
  </si>
  <si>
    <t>Jkt F/D</t>
  </si>
  <si>
    <t>R/C-F/D</t>
  </si>
  <si>
    <t>R/C-Single</t>
  </si>
  <si>
    <t>S/C</t>
  </si>
  <si>
    <t>Spr</t>
  </si>
  <si>
    <t>Spr York</t>
  </si>
  <si>
    <t>Pant - Waist Alter</t>
  </si>
  <si>
    <t>Pant - Length Alter</t>
  </si>
  <si>
    <t>Pant - Rain (Canvas)</t>
  </si>
  <si>
    <t>F/S-S/C</t>
  </si>
  <si>
    <t>Body Cover - H/D</t>
  </si>
  <si>
    <t>Body Cover - Plain</t>
  </si>
  <si>
    <t>Body Cover - York</t>
  </si>
  <si>
    <t>R/C - H/D</t>
  </si>
  <si>
    <t>R/C Single</t>
  </si>
  <si>
    <t>Rain Cape</t>
  </si>
  <si>
    <t>Poncho</t>
  </si>
  <si>
    <t>Spl (Binding/Pocket)</t>
  </si>
  <si>
    <t>H/D Attach (Back York)</t>
  </si>
  <si>
    <r>
      <t xml:space="preserve">Mattress Cover - </t>
    </r>
    <r>
      <rPr>
        <b/>
        <i/>
        <u/>
        <sz val="11"/>
        <color theme="1"/>
        <rFont val="Calibri"/>
        <family val="2"/>
        <scheme val="minor"/>
      </rPr>
      <t>Gada</t>
    </r>
  </si>
  <si>
    <r>
      <t xml:space="preserve">Shoe Cover (Set ) - </t>
    </r>
    <r>
      <rPr>
        <b/>
        <i/>
        <u/>
        <sz val="11"/>
        <color theme="1"/>
        <rFont val="Calibri"/>
        <family val="2"/>
        <scheme val="minor"/>
      </rPr>
      <t>Gada</t>
    </r>
  </si>
  <si>
    <r>
      <t xml:space="preserve">Head Cover - </t>
    </r>
    <r>
      <rPr>
        <b/>
        <i/>
        <u/>
        <sz val="11"/>
        <color theme="1"/>
        <rFont val="Calibri"/>
        <family val="2"/>
        <scheme val="minor"/>
      </rPr>
      <t>Net</t>
    </r>
  </si>
  <si>
    <r>
      <t xml:space="preserve">Tape Attached for bag- </t>
    </r>
    <r>
      <rPr>
        <b/>
        <i/>
        <u/>
        <sz val="11"/>
        <color theme="1"/>
        <rFont val="Calibri"/>
        <family val="2"/>
        <scheme val="minor"/>
      </rPr>
      <t>Nylon</t>
    </r>
  </si>
  <si>
    <r>
      <t xml:space="preserve">Cuff Sets for Coats - </t>
    </r>
    <r>
      <rPr>
        <b/>
        <i/>
        <u/>
        <sz val="11"/>
        <color theme="1"/>
        <rFont val="Calibri"/>
        <family val="2"/>
        <scheme val="minor"/>
      </rPr>
      <t>Polyester</t>
    </r>
  </si>
  <si>
    <r>
      <t xml:space="preserve">Blanket Labelling - </t>
    </r>
    <r>
      <rPr>
        <b/>
        <i/>
        <u/>
        <sz val="11"/>
        <color theme="1"/>
        <rFont val="Calibri"/>
        <family val="2"/>
        <scheme val="minor"/>
      </rPr>
      <t>Label</t>
    </r>
  </si>
  <si>
    <r>
      <t xml:space="preserve">Parcel - </t>
    </r>
    <r>
      <rPr>
        <b/>
        <i/>
        <u/>
        <sz val="11"/>
        <color theme="1"/>
        <rFont val="Calibri"/>
        <family val="2"/>
        <scheme val="minor"/>
      </rPr>
      <t>Gada</t>
    </r>
  </si>
  <si>
    <r>
      <t xml:space="preserve">Napkin - </t>
    </r>
    <r>
      <rPr>
        <b/>
        <i/>
        <u/>
        <sz val="11"/>
        <color theme="1"/>
        <rFont val="Calibri"/>
        <family val="2"/>
        <scheme val="minor"/>
      </rPr>
      <t>Cotton</t>
    </r>
  </si>
  <si>
    <r>
      <t xml:space="preserve">Pocket for Jacket/Coats - </t>
    </r>
    <r>
      <rPr>
        <b/>
        <i/>
        <u/>
        <sz val="11"/>
        <color theme="1"/>
        <rFont val="Calibri"/>
        <family val="2"/>
        <scheme val="minor"/>
      </rPr>
      <t>Common</t>
    </r>
  </si>
  <si>
    <t>Partha XL - 12' X 15'</t>
  </si>
  <si>
    <t>Partha XXL - 15' X 18'</t>
  </si>
  <si>
    <t>Partha XXXL - 18' X 21'</t>
  </si>
  <si>
    <t>Apron - Half</t>
  </si>
  <si>
    <t>Apron - Full</t>
  </si>
  <si>
    <r>
      <t xml:space="preserve">Apron - Baby (School) - </t>
    </r>
    <r>
      <rPr>
        <b/>
        <i/>
        <u/>
        <sz val="11"/>
        <color theme="1"/>
        <rFont val="Calibri"/>
        <family val="2"/>
        <scheme val="minor"/>
      </rPr>
      <t>Cotton</t>
    </r>
  </si>
  <si>
    <t>Apron - Half (Canvas)</t>
  </si>
  <si>
    <t>Bag - Gada</t>
  </si>
  <si>
    <t>Bag - Cargo</t>
  </si>
  <si>
    <t>Bag - Harvester</t>
  </si>
  <si>
    <t>Bag - Top Loop</t>
  </si>
  <si>
    <r>
      <t xml:space="preserve">Bag - Leaf Spl - </t>
    </r>
    <r>
      <rPr>
        <b/>
        <i/>
        <u/>
        <sz val="11"/>
        <color theme="1"/>
        <rFont val="Calibri"/>
        <family val="2"/>
        <scheme val="minor"/>
      </rPr>
      <t>Nylon</t>
    </r>
  </si>
  <si>
    <t xml:space="preserve">Bag - Luggage Bag XXL </t>
  </si>
  <si>
    <t>Bag - Shopping Bag</t>
  </si>
  <si>
    <t>Round Bag 24" without tape</t>
  </si>
  <si>
    <t>Round Bag 36" without tape</t>
  </si>
  <si>
    <t>Bag - School Bag</t>
  </si>
  <si>
    <t>Partha N/C - XXL - 15 X 18'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</si>
</sst>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s. &quot;#,##0_);\(&quot;Rs. &quot;#,##0\)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1" xfId="0" applyFont="1" applyFill="1" applyBorder="1"/>
    <xf numFmtId="0" fontId="0" fillId="0" borderId="1" xfId="0" applyFont="1" applyFill="1" applyBorder="1" applyAlignment="1">
      <alignment wrapText="1"/>
    </xf>
    <xf numFmtId="2" fontId="0" fillId="0" borderId="1" xfId="0" applyNumberFormat="1" applyFont="1" applyFill="1" applyBorder="1"/>
    <xf numFmtId="0" fontId="0" fillId="0" borderId="3" xfId="0" applyFont="1" applyFill="1" applyBorder="1" applyAlignment="1">
      <alignment wrapText="1"/>
    </xf>
    <xf numFmtId="2" fontId="0" fillId="0" borderId="3" xfId="0" applyNumberFormat="1" applyFont="1" applyFill="1" applyBorder="1"/>
    <xf numFmtId="0" fontId="0" fillId="0" borderId="3" xfId="0" applyFont="1" applyFill="1" applyBorder="1"/>
    <xf numFmtId="0" fontId="0" fillId="0" borderId="2" xfId="0" applyFont="1" applyFill="1" applyBorder="1" applyAlignment="1">
      <alignment wrapText="1"/>
    </xf>
    <xf numFmtId="2" fontId="0" fillId="0" borderId="2" xfId="0" applyNumberFormat="1" applyFont="1" applyFill="1" applyBorder="1"/>
    <xf numFmtId="0" fontId="0" fillId="0" borderId="2" xfId="0" applyFont="1" applyFill="1" applyBorder="1"/>
    <xf numFmtId="0" fontId="0" fillId="0" borderId="1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3" xfId="0" applyFill="1" applyBorder="1" applyAlignment="1">
      <alignment wrapText="1"/>
    </xf>
    <xf numFmtId="0" fontId="1" fillId="0" borderId="0" xfId="0" applyFont="1" applyBorder="1"/>
    <xf numFmtId="0" fontId="0" fillId="0" borderId="4" xfId="0" applyBorder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numFmt numFmtId="164" formatCode="&quot;Rs. &quot;#,##0_);\(&quot;Rs. &quot;#,##0\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21" totalsRowShown="0">
  <autoFilter ref="A1:I21" xr:uid="{00000000-0009-0000-0100-000001000000}"/>
  <tableColumns count="9">
    <tableColumn id="1" xr3:uid="{00000000-0010-0000-0000-000001000000}" name="Name of Product"/>
    <tableColumn id="2" xr3:uid="{00000000-0010-0000-0000-000002000000}" name="Cloth Used"/>
    <tableColumn id="3" xr3:uid="{00000000-0010-0000-0000-000003000000}" name="Cost of Cloth"/>
    <tableColumn id="4" xr3:uid="{00000000-0010-0000-0000-000004000000}" name="Cutting"/>
    <tableColumn id="5" xr3:uid="{00000000-0010-0000-0000-000005000000}" name="Tailoring"/>
    <tableColumn id="7" xr3:uid="{00000000-0010-0000-0000-000007000000}" name="Finishing"/>
    <tableColumn id="8" xr3:uid="{00000000-0010-0000-0000-000008000000}" name="Other Inputs"/>
    <tableColumn id="6" xr3:uid="{00000000-0010-0000-0000-000006000000}" name="Total COP" dataDxfId="0">
      <calculatedColumnFormula>SUM(C2:G2)</calculatedColumnFormula>
    </tableColumn>
    <tableColumn id="9" xr3:uid="{00000000-0010-0000-0000-000009000000}" name="Selling Na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48576"/>
  <sheetViews>
    <sheetView tabSelected="1" workbookViewId="0">
      <selection activeCell="F7" sqref="F7"/>
    </sheetView>
  </sheetViews>
  <sheetFormatPr defaultRowHeight="14.4" x14ac:dyDescent="0.3"/>
  <cols>
    <col min="1" max="1" width="18.33203125" bestFit="1" customWidth="1"/>
    <col min="2" max="2" width="19.88671875" bestFit="1" customWidth="1"/>
    <col min="3" max="3" width="14.5546875" bestFit="1" customWidth="1"/>
    <col min="4" max="4" width="9.6640625" bestFit="1" customWidth="1"/>
    <col min="5" max="7" width="11" customWidth="1"/>
    <col min="8" max="8" width="11.88671875" style="16" bestFit="1" customWidth="1"/>
    <col min="9" max="9" width="27.8867187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6" t="s">
        <v>40</v>
      </c>
      <c r="I1" t="s">
        <v>42</v>
      </c>
    </row>
    <row r="2" spans="1:9" x14ac:dyDescent="0.3">
      <c r="A2" t="s">
        <v>94</v>
      </c>
      <c r="B2" t="s">
        <v>7</v>
      </c>
      <c r="C2">
        <v>60</v>
      </c>
      <c r="D2">
        <v>15</v>
      </c>
      <c r="E2">
        <v>35</v>
      </c>
      <c r="F2">
        <v>0</v>
      </c>
      <c r="H2" s="16">
        <f t="shared" ref="H2:H21" si="0">SUM(C2:G2)</f>
        <v>110</v>
      </c>
      <c r="I2" t="s">
        <v>43</v>
      </c>
    </row>
    <row r="3" spans="1:9" x14ac:dyDescent="0.3">
      <c r="A3" t="s">
        <v>47</v>
      </c>
      <c r="B3" t="s">
        <v>11</v>
      </c>
      <c r="C3">
        <v>50</v>
      </c>
      <c r="D3">
        <v>15</v>
      </c>
      <c r="E3">
        <v>40</v>
      </c>
      <c r="F3">
        <v>0</v>
      </c>
      <c r="H3" s="16">
        <f t="shared" si="0"/>
        <v>105</v>
      </c>
    </row>
    <row r="4" spans="1:9" x14ac:dyDescent="0.3">
      <c r="H4" s="16">
        <f t="shared" si="0"/>
        <v>0</v>
      </c>
    </row>
    <row r="5" spans="1:9" x14ac:dyDescent="0.3">
      <c r="H5" s="16">
        <f t="shared" si="0"/>
        <v>0</v>
      </c>
    </row>
    <row r="6" spans="1:9" x14ac:dyDescent="0.3">
      <c r="H6" s="16">
        <f t="shared" si="0"/>
        <v>0</v>
      </c>
    </row>
    <row r="7" spans="1:9" x14ac:dyDescent="0.3">
      <c r="H7" s="16">
        <f t="shared" si="0"/>
        <v>0</v>
      </c>
    </row>
    <row r="8" spans="1:9" x14ac:dyDescent="0.3">
      <c r="H8" s="16">
        <f t="shared" si="0"/>
        <v>0</v>
      </c>
    </row>
    <row r="9" spans="1:9" x14ac:dyDescent="0.3">
      <c r="H9" s="16">
        <f t="shared" si="0"/>
        <v>0</v>
      </c>
    </row>
    <row r="10" spans="1:9" x14ac:dyDescent="0.3">
      <c r="H10" s="16">
        <f t="shared" si="0"/>
        <v>0</v>
      </c>
    </row>
    <row r="11" spans="1:9" x14ac:dyDescent="0.3">
      <c r="H11" s="16">
        <f t="shared" si="0"/>
        <v>0</v>
      </c>
    </row>
    <row r="12" spans="1:9" x14ac:dyDescent="0.3">
      <c r="H12" s="16">
        <f t="shared" si="0"/>
        <v>0</v>
      </c>
    </row>
    <row r="13" spans="1:9" x14ac:dyDescent="0.3">
      <c r="H13" s="16">
        <f t="shared" si="0"/>
        <v>0</v>
      </c>
    </row>
    <row r="14" spans="1:9" x14ac:dyDescent="0.3">
      <c r="H14" s="16">
        <f t="shared" si="0"/>
        <v>0</v>
      </c>
    </row>
    <row r="15" spans="1:9" x14ac:dyDescent="0.3">
      <c r="H15" s="16">
        <f t="shared" si="0"/>
        <v>0</v>
      </c>
    </row>
    <row r="16" spans="1:9" x14ac:dyDescent="0.3">
      <c r="H16" s="16">
        <f t="shared" si="0"/>
        <v>0</v>
      </c>
    </row>
    <row r="17" spans="3:8" x14ac:dyDescent="0.3">
      <c r="H17" s="16">
        <f t="shared" si="0"/>
        <v>0</v>
      </c>
    </row>
    <row r="18" spans="3:8" x14ac:dyDescent="0.3">
      <c r="H18" s="16">
        <f t="shared" si="0"/>
        <v>0</v>
      </c>
    </row>
    <row r="19" spans="3:8" x14ac:dyDescent="0.3">
      <c r="H19" s="16">
        <f t="shared" si="0"/>
        <v>0</v>
      </c>
    </row>
    <row r="20" spans="3:8" x14ac:dyDescent="0.3">
      <c r="H20" s="16">
        <f t="shared" si="0"/>
        <v>0</v>
      </c>
    </row>
    <row r="21" spans="3:8" x14ac:dyDescent="0.3">
      <c r="H21" s="16">
        <f t="shared" si="0"/>
        <v>0</v>
      </c>
    </row>
    <row r="23" spans="3:8" x14ac:dyDescent="0.3">
      <c r="C23" s="17" t="s">
        <v>41</v>
      </c>
      <c r="D23" s="17"/>
      <c r="E23" s="17"/>
      <c r="F23" s="17"/>
      <c r="G23" s="17"/>
    </row>
    <row r="1048576" spans="3:8" x14ac:dyDescent="0.3">
      <c r="C1048576">
        <f>SUM(C2:C1048575)</f>
        <v>110</v>
      </c>
      <c r="D1048576">
        <f>SUM(D2:D1048575)</f>
        <v>30</v>
      </c>
      <c r="E1048576">
        <f>SUM(E2:E1048575)</f>
        <v>75</v>
      </c>
      <c r="F1048576">
        <f>SUM(F2:F1048575)</f>
        <v>0</v>
      </c>
      <c r="H1048576" s="16">
        <f>SUM(C1048576:G1048576)</f>
        <v>215</v>
      </c>
    </row>
  </sheetData>
  <dataConsolidate/>
  <mergeCells count="1">
    <mergeCell ref="C23:G23"/>
  </mergeCells>
  <pageMargins left="0.7" right="0.7" top="0.75" bottom="0.75" header="0.3" footer="0.3"/>
  <pageSetup orientation="portrait" horizontalDpi="1200" verticalDpi="0" r:id="rId1"/>
  <ignoredErrors>
    <ignoredError sqref="B1 B10:B1048576" listDataValidatio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'Cloth Cost'!$A$2:$A$100</xm:f>
          </x14:formula1>
          <xm:sqref>B1:B1048576</xm:sqref>
        </x14:dataValidation>
        <x14:dataValidation type="list" allowBlank="1" showInputMessage="1" showErrorMessage="1" xr:uid="{00000000-0002-0000-0000-000001000000}">
          <x14:formula1>
            <xm:f>'Production Cost'!$A$2:$A$37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4"/>
  <sheetViews>
    <sheetView workbookViewId="0">
      <selection activeCell="B3" sqref="B3"/>
    </sheetView>
  </sheetViews>
  <sheetFormatPr defaultRowHeight="14.4" x14ac:dyDescent="0.3"/>
  <cols>
    <col min="1" max="1" width="20.88671875" bestFit="1" customWidth="1"/>
    <col min="2" max="2" width="12.33203125" bestFit="1" customWidth="1"/>
  </cols>
  <sheetData>
    <row r="1" spans="1:2" ht="15" thickBot="1" x14ac:dyDescent="0.35">
      <c r="A1" s="15" t="s">
        <v>1</v>
      </c>
      <c r="B1" s="15" t="s">
        <v>2</v>
      </c>
    </row>
    <row r="2" spans="1:2" x14ac:dyDescent="0.3">
      <c r="A2" s="14" t="s">
        <v>7</v>
      </c>
      <c r="B2">
        <v>60</v>
      </c>
    </row>
    <row r="3" spans="1:2" x14ac:dyDescent="0.3">
      <c r="A3" s="1" t="s">
        <v>8</v>
      </c>
      <c r="B3">
        <v>20</v>
      </c>
    </row>
    <row r="4" spans="1:2" x14ac:dyDescent="0.3">
      <c r="A4" s="1" t="s">
        <v>9</v>
      </c>
      <c r="B4">
        <v>30</v>
      </c>
    </row>
    <row r="5" spans="1:2" x14ac:dyDescent="0.3">
      <c r="A5" s="1" t="s">
        <v>10</v>
      </c>
      <c r="B5">
        <v>40</v>
      </c>
    </row>
    <row r="6" spans="1:2" x14ac:dyDescent="0.3">
      <c r="A6" s="1" t="s">
        <v>11</v>
      </c>
      <c r="B6">
        <v>50</v>
      </c>
    </row>
    <row r="7" spans="1:2" x14ac:dyDescent="0.3">
      <c r="A7" s="1" t="s">
        <v>12</v>
      </c>
      <c r="B7">
        <v>60</v>
      </c>
    </row>
    <row r="8" spans="1:2" x14ac:dyDescent="0.3">
      <c r="A8" s="1" t="s">
        <v>13</v>
      </c>
      <c r="B8">
        <v>70</v>
      </c>
    </row>
    <row r="9" spans="1:2" x14ac:dyDescent="0.3">
      <c r="A9" s="1" t="s">
        <v>14</v>
      </c>
      <c r="B9">
        <v>80</v>
      </c>
    </row>
    <row r="10" spans="1:2" x14ac:dyDescent="0.3">
      <c r="A10" s="1" t="s">
        <v>15</v>
      </c>
      <c r="B10">
        <v>90</v>
      </c>
    </row>
    <row r="11" spans="1:2" x14ac:dyDescent="0.3">
      <c r="A11" s="1" t="s">
        <v>16</v>
      </c>
      <c r="B11">
        <v>100</v>
      </c>
    </row>
    <row r="12" spans="1:2" x14ac:dyDescent="0.3">
      <c r="A12" s="1" t="s">
        <v>17</v>
      </c>
      <c r="B12">
        <v>110</v>
      </c>
    </row>
    <row r="13" spans="1:2" x14ac:dyDescent="0.3">
      <c r="A13" s="1" t="s">
        <v>18</v>
      </c>
      <c r="B13">
        <v>120</v>
      </c>
    </row>
    <row r="14" spans="1:2" x14ac:dyDescent="0.3">
      <c r="A14" s="1" t="s">
        <v>19</v>
      </c>
      <c r="B14">
        <v>130</v>
      </c>
    </row>
    <row r="15" spans="1:2" x14ac:dyDescent="0.3">
      <c r="A15" s="1" t="s">
        <v>20</v>
      </c>
      <c r="B15">
        <v>140</v>
      </c>
    </row>
    <row r="16" spans="1:2" x14ac:dyDescent="0.3">
      <c r="A16" s="1" t="s">
        <v>21</v>
      </c>
      <c r="B16">
        <v>150</v>
      </c>
    </row>
    <row r="17" spans="1:2" x14ac:dyDescent="0.3">
      <c r="A17" s="1" t="s">
        <v>22</v>
      </c>
      <c r="B17">
        <v>160</v>
      </c>
    </row>
    <row r="18" spans="1:2" x14ac:dyDescent="0.3">
      <c r="A18" s="1" t="s">
        <v>23</v>
      </c>
      <c r="B18">
        <v>170</v>
      </c>
    </row>
    <row r="19" spans="1:2" x14ac:dyDescent="0.3">
      <c r="A19" s="1" t="s">
        <v>24</v>
      </c>
      <c r="B19">
        <v>180</v>
      </c>
    </row>
    <row r="20" spans="1:2" x14ac:dyDescent="0.3">
      <c r="A20" s="1" t="s">
        <v>25</v>
      </c>
      <c r="B20">
        <v>190</v>
      </c>
    </row>
    <row r="21" spans="1:2" x14ac:dyDescent="0.3">
      <c r="A21" s="1" t="s">
        <v>26</v>
      </c>
      <c r="B21">
        <v>200</v>
      </c>
    </row>
    <row r="22" spans="1:2" x14ac:dyDescent="0.3">
      <c r="A22" s="1" t="s">
        <v>27</v>
      </c>
      <c r="B22">
        <v>210</v>
      </c>
    </row>
    <row r="23" spans="1:2" x14ac:dyDescent="0.3">
      <c r="A23" s="1" t="s">
        <v>28</v>
      </c>
      <c r="B23">
        <v>220</v>
      </c>
    </row>
    <row r="24" spans="1:2" x14ac:dyDescent="0.3">
      <c r="A24" s="1" t="s">
        <v>29</v>
      </c>
      <c r="B24">
        <v>230</v>
      </c>
    </row>
    <row r="25" spans="1:2" x14ac:dyDescent="0.3">
      <c r="A25" s="1" t="s">
        <v>30</v>
      </c>
      <c r="B25">
        <v>240</v>
      </c>
    </row>
    <row r="26" spans="1:2" x14ac:dyDescent="0.3">
      <c r="A26" s="1" t="s">
        <v>31</v>
      </c>
      <c r="B26">
        <v>250</v>
      </c>
    </row>
    <row r="27" spans="1:2" x14ac:dyDescent="0.3">
      <c r="A27" s="1" t="s">
        <v>32</v>
      </c>
      <c r="B27">
        <v>260</v>
      </c>
    </row>
    <row r="28" spans="1:2" x14ac:dyDescent="0.3">
      <c r="A28" s="1" t="s">
        <v>33</v>
      </c>
      <c r="B28">
        <v>270</v>
      </c>
    </row>
    <row r="29" spans="1:2" x14ac:dyDescent="0.3">
      <c r="A29" s="1" t="s">
        <v>34</v>
      </c>
      <c r="B29">
        <v>280</v>
      </c>
    </row>
    <row r="30" spans="1:2" x14ac:dyDescent="0.3">
      <c r="A30" s="1" t="s">
        <v>35</v>
      </c>
      <c r="B30">
        <v>290</v>
      </c>
    </row>
    <row r="31" spans="1:2" x14ac:dyDescent="0.3">
      <c r="A31" s="1" t="s">
        <v>36</v>
      </c>
      <c r="B31">
        <v>300</v>
      </c>
    </row>
    <row r="32" spans="1:2" x14ac:dyDescent="0.3">
      <c r="A32" s="1" t="s">
        <v>37</v>
      </c>
      <c r="B32">
        <v>310</v>
      </c>
    </row>
    <row r="33" spans="1:2" x14ac:dyDescent="0.3">
      <c r="A33" s="1" t="s">
        <v>38</v>
      </c>
      <c r="B33">
        <v>320</v>
      </c>
    </row>
    <row r="34" spans="1:2" x14ac:dyDescent="0.3">
      <c r="A34" s="1" t="s">
        <v>39</v>
      </c>
      <c r="B34">
        <v>330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54"/>
  <sheetViews>
    <sheetView workbookViewId="0">
      <selection activeCell="C17" sqref="C17"/>
    </sheetView>
  </sheetViews>
  <sheetFormatPr defaultRowHeight="14.4" x14ac:dyDescent="0.3"/>
  <cols>
    <col min="1" max="1" width="38.44140625" bestFit="1" customWidth="1"/>
  </cols>
  <sheetData>
    <row r="1" spans="1:4" ht="15" thickBot="1" x14ac:dyDescent="0.35">
      <c r="A1" s="10" t="s">
        <v>0</v>
      </c>
      <c r="B1" s="10" t="s">
        <v>3</v>
      </c>
      <c r="C1" s="10" t="s">
        <v>4</v>
      </c>
      <c r="D1" s="10" t="s">
        <v>5</v>
      </c>
    </row>
    <row r="2" spans="1:4" x14ac:dyDescent="0.3">
      <c r="A2" s="5" t="s">
        <v>44</v>
      </c>
      <c r="B2" s="6">
        <v>200</v>
      </c>
      <c r="C2" s="6">
        <v>500</v>
      </c>
      <c r="D2" s="7"/>
    </row>
    <row r="3" spans="1:4" x14ac:dyDescent="0.3">
      <c r="A3" s="3" t="s">
        <v>45</v>
      </c>
      <c r="B3" s="4">
        <v>8</v>
      </c>
      <c r="C3" s="4">
        <v>35</v>
      </c>
      <c r="D3" s="2"/>
    </row>
    <row r="4" spans="1:4" x14ac:dyDescent="0.3">
      <c r="A4" s="3" t="s">
        <v>46</v>
      </c>
      <c r="B4" s="4">
        <v>15</v>
      </c>
      <c r="C4" s="4">
        <v>65</v>
      </c>
      <c r="D4" s="2"/>
    </row>
    <row r="5" spans="1:4" x14ac:dyDescent="0.3">
      <c r="A5" s="3" t="s">
        <v>47</v>
      </c>
      <c r="B5" s="4">
        <v>15</v>
      </c>
      <c r="C5" s="4">
        <v>40</v>
      </c>
      <c r="D5" s="2"/>
    </row>
    <row r="6" spans="1:4" x14ac:dyDescent="0.3">
      <c r="A6" s="3" t="s">
        <v>48</v>
      </c>
      <c r="B6" s="4">
        <v>4.5</v>
      </c>
      <c r="C6" s="4">
        <v>15</v>
      </c>
      <c r="D6" s="2"/>
    </row>
    <row r="7" spans="1:4" x14ac:dyDescent="0.3">
      <c r="A7" s="3" t="s">
        <v>69</v>
      </c>
      <c r="B7" s="4">
        <v>4.5</v>
      </c>
      <c r="C7" s="4">
        <v>12</v>
      </c>
      <c r="D7" s="2"/>
    </row>
    <row r="8" spans="1:4" x14ac:dyDescent="0.3">
      <c r="A8" s="3" t="s">
        <v>70</v>
      </c>
      <c r="B8" s="4">
        <v>6</v>
      </c>
      <c r="C8" s="4">
        <v>18</v>
      </c>
      <c r="D8" s="2"/>
    </row>
    <row r="9" spans="1:4" ht="15" thickBot="1" x14ac:dyDescent="0.35">
      <c r="A9" s="8" t="s">
        <v>71</v>
      </c>
      <c r="B9" s="9">
        <v>1</v>
      </c>
      <c r="C9" s="9">
        <v>3</v>
      </c>
      <c r="D9" s="10"/>
    </row>
    <row r="10" spans="1:4" x14ac:dyDescent="0.3">
      <c r="A10" s="5" t="s">
        <v>49</v>
      </c>
      <c r="B10" s="6">
        <v>8</v>
      </c>
      <c r="C10" s="6">
        <v>15</v>
      </c>
      <c r="D10" s="7"/>
    </row>
    <row r="11" spans="1:4" x14ac:dyDescent="0.3">
      <c r="A11" s="3" t="s">
        <v>5</v>
      </c>
      <c r="B11" s="4">
        <v>150</v>
      </c>
      <c r="C11" s="4">
        <v>150</v>
      </c>
      <c r="D11" s="2"/>
    </row>
    <row r="12" spans="1:4" x14ac:dyDescent="0.3">
      <c r="A12" s="3" t="s">
        <v>50</v>
      </c>
      <c r="B12" s="4">
        <v>22</v>
      </c>
      <c r="C12" s="4">
        <v>100</v>
      </c>
      <c r="D12" s="2"/>
    </row>
    <row r="13" spans="1:4" x14ac:dyDescent="0.3">
      <c r="A13" s="3" t="s">
        <v>51</v>
      </c>
      <c r="B13" s="4">
        <v>15</v>
      </c>
      <c r="C13" s="4">
        <v>55</v>
      </c>
      <c r="D13" s="2"/>
    </row>
    <row r="14" spans="1:4" x14ac:dyDescent="0.3">
      <c r="A14" s="3" t="s">
        <v>52</v>
      </c>
      <c r="B14" s="4">
        <v>10</v>
      </c>
      <c r="C14" s="4">
        <v>45</v>
      </c>
      <c r="D14" s="2"/>
    </row>
    <row r="15" spans="1:4" x14ac:dyDescent="0.3">
      <c r="A15" s="3" t="s">
        <v>53</v>
      </c>
      <c r="B15" s="4">
        <v>5</v>
      </c>
      <c r="C15" s="4">
        <v>12</v>
      </c>
      <c r="D15" s="2"/>
    </row>
    <row r="16" spans="1:4" x14ac:dyDescent="0.3">
      <c r="A16" s="3" t="s">
        <v>54</v>
      </c>
      <c r="B16" s="4">
        <v>10</v>
      </c>
      <c r="C16" s="4">
        <v>30</v>
      </c>
      <c r="D16" s="2"/>
    </row>
    <row r="17" spans="1:4" ht="15" thickBot="1" x14ac:dyDescent="0.35">
      <c r="A17" s="8" t="s">
        <v>55</v>
      </c>
      <c r="B17" s="9">
        <v>10</v>
      </c>
      <c r="C17" s="9">
        <v>35</v>
      </c>
      <c r="D17" s="10"/>
    </row>
    <row r="18" spans="1:4" x14ac:dyDescent="0.3">
      <c r="A18" s="13" t="s">
        <v>87</v>
      </c>
      <c r="B18" s="6">
        <v>15</v>
      </c>
      <c r="C18" s="6">
        <v>45</v>
      </c>
      <c r="D18" s="7"/>
    </row>
    <row r="19" spans="1:4" x14ac:dyDescent="0.3">
      <c r="A19" s="11" t="s">
        <v>86</v>
      </c>
      <c r="B19" s="4">
        <v>12</v>
      </c>
      <c r="C19" s="4">
        <v>50</v>
      </c>
      <c r="D19" s="2"/>
    </row>
    <row r="20" spans="1:4" x14ac:dyDescent="0.3">
      <c r="A20" s="11" t="s">
        <v>85</v>
      </c>
      <c r="B20" s="4">
        <v>1</v>
      </c>
      <c r="C20" s="4">
        <v>3</v>
      </c>
      <c r="D20" s="2"/>
    </row>
    <row r="21" spans="1:4" x14ac:dyDescent="0.3">
      <c r="A21" s="11" t="s">
        <v>88</v>
      </c>
      <c r="B21" s="4">
        <v>4.5</v>
      </c>
      <c r="C21" s="4">
        <v>12</v>
      </c>
      <c r="D21" s="2"/>
    </row>
    <row r="22" spans="1:4" x14ac:dyDescent="0.3">
      <c r="A22" s="11" t="s">
        <v>89</v>
      </c>
      <c r="B22" s="4">
        <v>2.5</v>
      </c>
      <c r="C22" s="4">
        <v>6</v>
      </c>
      <c r="D22" s="2"/>
    </row>
    <row r="23" spans="1:4" x14ac:dyDescent="0.3">
      <c r="A23" s="11" t="s">
        <v>94</v>
      </c>
      <c r="B23" s="4">
        <v>15</v>
      </c>
      <c r="C23" s="4">
        <v>35</v>
      </c>
      <c r="D23" s="2"/>
    </row>
    <row r="24" spans="1:4" x14ac:dyDescent="0.3">
      <c r="A24" s="11" t="s">
        <v>90</v>
      </c>
      <c r="B24" s="4">
        <v>15</v>
      </c>
      <c r="C24" s="4">
        <v>40</v>
      </c>
      <c r="D24" s="2"/>
    </row>
    <row r="25" spans="1:4" ht="15" thickBot="1" x14ac:dyDescent="0.35">
      <c r="A25" s="12" t="s">
        <v>91</v>
      </c>
      <c r="B25" s="9">
        <v>4</v>
      </c>
      <c r="C25" s="9">
        <v>16</v>
      </c>
      <c r="D25" s="10"/>
    </row>
    <row r="26" spans="1:4" x14ac:dyDescent="0.3">
      <c r="A26" s="11" t="s">
        <v>92</v>
      </c>
      <c r="B26" s="4">
        <v>4</v>
      </c>
      <c r="C26" s="4">
        <v>12</v>
      </c>
      <c r="D26" s="3"/>
    </row>
    <row r="27" spans="1:4" ht="15" thickBot="1" x14ac:dyDescent="0.35">
      <c r="A27" s="12" t="s">
        <v>93</v>
      </c>
      <c r="B27" s="9">
        <v>4.5</v>
      </c>
      <c r="C27" s="9">
        <v>15</v>
      </c>
      <c r="D27" s="8"/>
    </row>
    <row r="28" spans="1:4" x14ac:dyDescent="0.3">
      <c r="A28" s="5" t="s">
        <v>72</v>
      </c>
      <c r="B28" s="6"/>
      <c r="C28" s="6">
        <v>1.5</v>
      </c>
      <c r="D28" s="5"/>
    </row>
    <row r="29" spans="1:4" x14ac:dyDescent="0.3">
      <c r="A29" s="3" t="s">
        <v>73</v>
      </c>
      <c r="B29" s="4"/>
      <c r="C29" s="4">
        <v>1.25</v>
      </c>
      <c r="D29" s="2"/>
    </row>
    <row r="30" spans="1:4" x14ac:dyDescent="0.3">
      <c r="A30" s="3" t="s">
        <v>74</v>
      </c>
      <c r="B30" s="4"/>
      <c r="C30" s="4">
        <v>0.3</v>
      </c>
      <c r="D30" s="2"/>
    </row>
    <row r="31" spans="1:4" x14ac:dyDescent="0.3">
      <c r="A31" s="3" t="s">
        <v>75</v>
      </c>
      <c r="B31" s="4"/>
      <c r="C31" s="4">
        <v>1</v>
      </c>
      <c r="D31" s="2"/>
    </row>
    <row r="32" spans="1:4" x14ac:dyDescent="0.3">
      <c r="A32" s="3" t="s">
        <v>56</v>
      </c>
      <c r="B32" s="4"/>
      <c r="C32" s="4">
        <v>15</v>
      </c>
      <c r="D32" s="2"/>
    </row>
    <row r="33" spans="1:4" x14ac:dyDescent="0.3">
      <c r="A33" s="3" t="s">
        <v>57</v>
      </c>
      <c r="B33" s="4">
        <v>5</v>
      </c>
      <c r="C33" s="4">
        <v>10</v>
      </c>
      <c r="D33" s="2"/>
    </row>
    <row r="34" spans="1:4" x14ac:dyDescent="0.3">
      <c r="A34" s="3" t="s">
        <v>76</v>
      </c>
      <c r="B34" s="4">
        <v>1</v>
      </c>
      <c r="C34" s="4">
        <v>2</v>
      </c>
      <c r="D34" s="2"/>
    </row>
    <row r="35" spans="1:4" ht="15" thickBot="1" x14ac:dyDescent="0.35">
      <c r="A35" s="8" t="s">
        <v>77</v>
      </c>
      <c r="B35" s="9"/>
      <c r="C35" s="9">
        <v>2</v>
      </c>
      <c r="D35" s="10"/>
    </row>
    <row r="36" spans="1:4" x14ac:dyDescent="0.3">
      <c r="A36" s="13" t="s">
        <v>78</v>
      </c>
      <c r="B36" s="6">
        <v>50</v>
      </c>
      <c r="C36" s="6">
        <v>300</v>
      </c>
      <c r="D36" s="7"/>
    </row>
    <row r="37" spans="1:4" x14ac:dyDescent="0.3">
      <c r="A37" s="11" t="s">
        <v>79</v>
      </c>
      <c r="B37" s="4">
        <v>100</v>
      </c>
      <c r="C37" s="4">
        <v>400</v>
      </c>
      <c r="D37" s="2"/>
    </row>
    <row r="38" spans="1:4" ht="15" thickBot="1" x14ac:dyDescent="0.35">
      <c r="A38" s="12" t="s">
        <v>80</v>
      </c>
      <c r="B38" s="9">
        <v>100</v>
      </c>
      <c r="C38" s="9">
        <v>500</v>
      </c>
      <c r="D38" s="10"/>
    </row>
    <row r="39" spans="1:4" x14ac:dyDescent="0.3">
      <c r="A39" s="13" t="s">
        <v>84</v>
      </c>
      <c r="B39" s="6">
        <v>2</v>
      </c>
      <c r="C39" s="6">
        <v>10</v>
      </c>
      <c r="D39" s="7"/>
    </row>
    <row r="40" spans="1:4" x14ac:dyDescent="0.3">
      <c r="A40" s="11" t="s">
        <v>83</v>
      </c>
      <c r="B40" s="4">
        <v>1</v>
      </c>
      <c r="C40" s="4">
        <v>6</v>
      </c>
      <c r="D40" s="2"/>
    </row>
    <row r="41" spans="1:4" ht="15" thickBot="1" x14ac:dyDescent="0.35">
      <c r="A41" s="8" t="s">
        <v>58</v>
      </c>
      <c r="B41" s="9">
        <v>22</v>
      </c>
      <c r="C41" s="9">
        <v>50</v>
      </c>
      <c r="D41" s="10"/>
    </row>
    <row r="42" spans="1:4" x14ac:dyDescent="0.3">
      <c r="A42" s="5" t="s">
        <v>59</v>
      </c>
      <c r="B42" s="6">
        <v>6</v>
      </c>
      <c r="C42" s="6">
        <v>16</v>
      </c>
      <c r="D42" s="7"/>
    </row>
    <row r="43" spans="1:4" x14ac:dyDescent="0.3">
      <c r="A43" s="3" t="s">
        <v>60</v>
      </c>
      <c r="B43" s="4">
        <v>6</v>
      </c>
      <c r="C43" s="4">
        <v>18</v>
      </c>
      <c r="D43" s="2"/>
    </row>
    <row r="44" spans="1:4" x14ac:dyDescent="0.3">
      <c r="A44" s="3" t="s">
        <v>61</v>
      </c>
      <c r="B44" s="4">
        <v>4.5</v>
      </c>
      <c r="C44" s="4">
        <v>15</v>
      </c>
      <c r="D44" s="2"/>
    </row>
    <row r="45" spans="1:4" x14ac:dyDescent="0.3">
      <c r="A45" s="3" t="s">
        <v>62</v>
      </c>
      <c r="B45" s="4">
        <v>5.5</v>
      </c>
      <c r="C45" s="4">
        <v>16</v>
      </c>
      <c r="D45" s="2"/>
    </row>
    <row r="46" spans="1:4" x14ac:dyDescent="0.3">
      <c r="A46" s="3" t="s">
        <v>63</v>
      </c>
      <c r="B46" s="4">
        <v>12</v>
      </c>
      <c r="C46" s="4">
        <v>38</v>
      </c>
      <c r="D46" s="2"/>
    </row>
    <row r="47" spans="1:4" x14ac:dyDescent="0.3">
      <c r="A47" s="3" t="s">
        <v>64</v>
      </c>
      <c r="B47" s="4">
        <v>6</v>
      </c>
      <c r="C47" s="4">
        <v>16</v>
      </c>
      <c r="D47" s="2"/>
    </row>
    <row r="48" spans="1:4" x14ac:dyDescent="0.3">
      <c r="A48" s="3" t="s">
        <v>65</v>
      </c>
      <c r="B48" s="4">
        <v>5</v>
      </c>
      <c r="C48" s="4">
        <v>15</v>
      </c>
      <c r="D48" s="2"/>
    </row>
    <row r="49" spans="1:4" x14ac:dyDescent="0.3">
      <c r="A49" s="3" t="s">
        <v>66</v>
      </c>
      <c r="B49" s="4">
        <v>5</v>
      </c>
      <c r="C49" s="4">
        <v>16</v>
      </c>
      <c r="D49" s="2"/>
    </row>
    <row r="50" spans="1:4" x14ac:dyDescent="0.3">
      <c r="A50" s="11" t="s">
        <v>95</v>
      </c>
      <c r="B50" s="4">
        <v>50</v>
      </c>
      <c r="C50" s="4">
        <v>300</v>
      </c>
      <c r="D50" s="2"/>
    </row>
    <row r="51" spans="1:4" x14ac:dyDescent="0.3">
      <c r="A51" s="11" t="s">
        <v>81</v>
      </c>
      <c r="B51" s="4">
        <v>1.5</v>
      </c>
      <c r="C51" s="4">
        <v>8</v>
      </c>
      <c r="D51" s="2"/>
    </row>
    <row r="52" spans="1:4" x14ac:dyDescent="0.3">
      <c r="A52" s="11" t="s">
        <v>82</v>
      </c>
      <c r="B52" s="4">
        <v>3</v>
      </c>
      <c r="C52" s="4">
        <v>12</v>
      </c>
      <c r="D52" s="2"/>
    </row>
    <row r="53" spans="1:4" x14ac:dyDescent="0.3">
      <c r="A53" s="3" t="s">
        <v>67</v>
      </c>
      <c r="B53" s="4">
        <v>3</v>
      </c>
      <c r="C53" s="4">
        <v>14</v>
      </c>
      <c r="D53" s="2"/>
    </row>
    <row r="54" spans="1:4" x14ac:dyDescent="0.3">
      <c r="A54" s="3" t="s">
        <v>68</v>
      </c>
      <c r="B54" s="4"/>
      <c r="C54" s="4">
        <v>2.5</v>
      </c>
      <c r="D54" s="2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Costing Sheet</vt:lpstr>
      <vt:lpstr>Cloth Cost</vt:lpstr>
      <vt:lpstr>Production Cost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Vitrag Group</cp:lastModifiedBy>
  <dcterms:created xsi:type="dcterms:W3CDTF">2009-12-10T06:24:45Z</dcterms:created>
  <dcterms:modified xsi:type="dcterms:W3CDTF">2019-09-24T01:15:33Z</dcterms:modified>
</cp:coreProperties>
</file>