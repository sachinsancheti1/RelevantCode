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15480" windowHeight="8445"/>
  </bookViews>
  <sheets>
    <sheet name="MIMR Sheet" sheetId="2" r:id="rId1"/>
    <sheet name="Data Input Sheet" sheetId="5" r:id="rId2"/>
    <sheet name="Summary" sheetId="6" r:id="rId3"/>
    <sheet name="Averages" sheetId="1" r:id="rId4"/>
    <sheet name="Products" sheetId="3" r:id="rId5"/>
    <sheet name="Cloth" sheetId="4" r:id="rId6"/>
  </sheets>
  <functionGroups/>
  <externalReferences>
    <externalReference r:id="rId7"/>
    <externalReference r:id="rId8"/>
    <externalReference r:id="rId9"/>
  </externalReferences>
  <definedNames>
    <definedName name="Actual_Paid">[2]Summary!#REF!</definedName>
    <definedName name="Labor_Rate_Schedule">[2]Summary!#REF!</definedName>
    <definedName name="_xlnm.Print_Area" localSheetId="1">'Data Input Sheet'!$A$1:$P$103</definedName>
    <definedName name="_xlnm.Print_Area" localSheetId="2">Summary!$A$3:$O$26</definedName>
    <definedName name="Z_6A84FC39_7CCC_4F40_857F_05D51DF9D1C8_.wvu.PrintArea" localSheetId="1" hidden="1">'Data Input Sheet'!$A$1:$N$87</definedName>
    <definedName name="Z_6A84FC39_7CCC_4F40_857F_05D51DF9D1C8_.wvu.PrintArea" localSheetId="2" hidden="1">Summary!$A$3:$N$14</definedName>
  </definedNames>
  <calcPr calcId="124519"/>
</workbook>
</file>

<file path=xl/calcChain.xml><?xml version="1.0" encoding="utf-8"?>
<calcChain xmlns="http://schemas.openxmlformats.org/spreadsheetml/2006/main">
  <c r="O10" i="6"/>
  <c r="N9"/>
  <c r="M9"/>
  <c r="L9"/>
  <c r="K9"/>
  <c r="J9"/>
  <c r="I9"/>
  <c r="H9"/>
  <c r="G9"/>
  <c r="F9"/>
  <c r="E9"/>
  <c r="D9"/>
  <c r="C9"/>
  <c r="B9"/>
  <c r="O9" s="1"/>
  <c r="N8"/>
  <c r="M8"/>
  <c r="L8"/>
  <c r="K8"/>
  <c r="J8"/>
  <c r="I8"/>
  <c r="H8"/>
  <c r="G8"/>
  <c r="F8"/>
  <c r="E8"/>
  <c r="D8"/>
  <c r="C8"/>
  <c r="B8"/>
  <c r="O8" s="1"/>
  <c r="N6"/>
  <c r="M6"/>
  <c r="L6"/>
  <c r="K6"/>
  <c r="J6"/>
  <c r="I6"/>
  <c r="H6"/>
  <c r="G6"/>
  <c r="F6"/>
  <c r="E6"/>
  <c r="D6"/>
  <c r="C6"/>
  <c r="B6"/>
  <c r="N1"/>
  <c r="N2" s="1"/>
  <c r="M1"/>
  <c r="M2" s="1"/>
  <c r="L1"/>
  <c r="L2" s="1"/>
  <c r="K1"/>
  <c r="K2" s="1"/>
  <c r="J1"/>
  <c r="J2" s="1"/>
  <c r="I1"/>
  <c r="I2" s="1"/>
  <c r="H1"/>
  <c r="H2" s="1"/>
  <c r="G1"/>
  <c r="G2" s="1"/>
  <c r="F1"/>
  <c r="F2" s="1"/>
  <c r="E1"/>
  <c r="E2" s="1"/>
  <c r="D1"/>
  <c r="D2" s="1"/>
  <c r="C1"/>
  <c r="C2" s="1"/>
  <c r="B1"/>
  <c r="B2" s="1"/>
  <c r="N91" i="5"/>
  <c r="M91"/>
  <c r="L91"/>
  <c r="K91"/>
  <c r="J91"/>
  <c r="I91"/>
  <c r="H91"/>
  <c r="G91"/>
  <c r="F91"/>
  <c r="E91"/>
  <c r="D91"/>
  <c r="C91"/>
  <c r="B91"/>
  <c r="N85"/>
  <c r="M85"/>
  <c r="L85"/>
  <c r="K85"/>
  <c r="J85"/>
  <c r="I85"/>
  <c r="H85"/>
  <c r="G85"/>
  <c r="F85"/>
  <c r="E85"/>
  <c r="D85"/>
  <c r="C85"/>
  <c r="B85"/>
  <c r="P82"/>
  <c r="O82"/>
  <c r="P81"/>
  <c r="O81"/>
  <c r="P80"/>
  <c r="O80"/>
  <c r="P79"/>
  <c r="O79"/>
  <c r="P78"/>
  <c r="O78"/>
  <c r="P77"/>
  <c r="O77"/>
  <c r="P76"/>
  <c r="O76"/>
  <c r="P75"/>
  <c r="O75"/>
  <c r="P74"/>
  <c r="O74"/>
  <c r="P73"/>
  <c r="O73"/>
  <c r="P72"/>
  <c r="P71"/>
  <c r="O71"/>
  <c r="P70"/>
  <c r="O70"/>
  <c r="P69"/>
  <c r="O69"/>
  <c r="P68"/>
  <c r="O68"/>
  <c r="P67"/>
  <c r="O67"/>
  <c r="P66"/>
  <c r="O66"/>
  <c r="P65"/>
  <c r="O65"/>
  <c r="P64"/>
  <c r="O64"/>
  <c r="P63"/>
  <c r="O63"/>
  <c r="P62"/>
  <c r="O62"/>
  <c r="P61"/>
  <c r="P60"/>
  <c r="O60"/>
  <c r="P59"/>
  <c r="O59"/>
  <c r="P58"/>
  <c r="O58"/>
  <c r="P57"/>
  <c r="O57"/>
  <c r="P56"/>
  <c r="O56"/>
  <c r="P55"/>
  <c r="O55"/>
  <c r="P54"/>
  <c r="O54"/>
  <c r="P53"/>
  <c r="O53"/>
  <c r="P52"/>
  <c r="O52"/>
  <c r="P51"/>
  <c r="O51"/>
  <c r="P50"/>
  <c r="N49"/>
  <c r="M49"/>
  <c r="L49"/>
  <c r="K49"/>
  <c r="J49"/>
  <c r="I49"/>
  <c r="H49"/>
  <c r="G49"/>
  <c r="F49"/>
  <c r="E49"/>
  <c r="D49"/>
  <c r="P49" s="1"/>
  <c r="C49"/>
  <c r="B49"/>
  <c r="O49" s="1"/>
  <c r="P48"/>
  <c r="O48"/>
  <c r="P47"/>
  <c r="O47"/>
  <c r="P46"/>
  <c r="O46"/>
  <c r="P45"/>
  <c r="O45"/>
  <c r="P44"/>
  <c r="O44"/>
  <c r="P43"/>
  <c r="O43"/>
  <c r="P42"/>
  <c r="O42"/>
  <c r="P41"/>
  <c r="O41"/>
  <c r="P40"/>
  <c r="O40"/>
  <c r="P39"/>
  <c r="O39"/>
  <c r="P38"/>
  <c r="O38"/>
  <c r="P37"/>
  <c r="P36"/>
  <c r="O36"/>
  <c r="P35"/>
  <c r="O35"/>
  <c r="P34"/>
  <c r="O34"/>
  <c r="P33"/>
  <c r="O33"/>
  <c r="P32"/>
  <c r="O32"/>
  <c r="P31"/>
  <c r="O31"/>
  <c r="P30"/>
  <c r="O30"/>
  <c r="P29"/>
  <c r="O29"/>
  <c r="P28"/>
  <c r="O28"/>
  <c r="P27"/>
  <c r="O27"/>
  <c r="P26"/>
  <c r="P25"/>
  <c r="O25"/>
  <c r="P24"/>
  <c r="O24"/>
  <c r="P23"/>
  <c r="O23"/>
  <c r="P22"/>
  <c r="O22"/>
  <c r="P21"/>
  <c r="O21"/>
  <c r="P20"/>
  <c r="O20"/>
  <c r="P19"/>
  <c r="O19"/>
  <c r="P18"/>
  <c r="O18"/>
  <c r="P17"/>
  <c r="O17"/>
  <c r="P16"/>
  <c r="O16"/>
  <c r="P15"/>
  <c r="P14"/>
  <c r="O14"/>
  <c r="P13"/>
  <c r="O13"/>
  <c r="P12"/>
  <c r="O12"/>
  <c r="P11"/>
  <c r="O11"/>
  <c r="P10"/>
  <c r="O10"/>
  <c r="P9"/>
  <c r="O9"/>
  <c r="P8"/>
  <c r="O8"/>
  <c r="P7"/>
  <c r="O7"/>
  <c r="P6"/>
  <c r="O6"/>
  <c r="P5"/>
  <c r="O5"/>
  <c r="B4"/>
  <c r="B72" s="1"/>
  <c r="G1"/>
  <c r="I2" i="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F12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B15" i="5" l="1"/>
  <c r="B26"/>
  <c r="B37"/>
  <c r="B50"/>
  <c r="B61"/>
  <c r="F3" i="2"/>
  <c r="F4"/>
  <c r="F2"/>
  <c r="F5"/>
  <c r="F6"/>
  <c r="F7"/>
  <c r="F8"/>
  <c r="F9"/>
  <c r="F10"/>
  <c r="F11"/>
  <c r="F13"/>
</calcChain>
</file>

<file path=xl/comments1.xml><?xml version="1.0" encoding="utf-8"?>
<comments xmlns="http://schemas.openxmlformats.org/spreadsheetml/2006/main">
  <authors>
    <author>Vaishali</author>
  </authors>
  <commentList>
    <comment ref="E12" authorId="0">
      <text>
        <r>
          <rPr>
            <b/>
            <sz val="24"/>
            <color indexed="81"/>
            <rFont val="Tahoma"/>
            <family val="2"/>
          </rPr>
          <t>Manual</t>
        </r>
        <r>
          <rPr>
            <sz val="24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<sst xmlns="http://schemas.openxmlformats.org/spreadsheetml/2006/main" count="343" uniqueCount="202">
  <si>
    <t>Cloth Size</t>
  </si>
  <si>
    <t>Product</t>
  </si>
  <si>
    <t>Average</t>
  </si>
  <si>
    <t>Files to be opened</t>
  </si>
  <si>
    <t>36"</t>
  </si>
  <si>
    <t>Bag - School Bag</t>
  </si>
  <si>
    <t>36''.xlsm</t>
  </si>
  <si>
    <t>Carpet Bin 6' 6"</t>
  </si>
  <si>
    <t>37''.xlsm</t>
  </si>
  <si>
    <t>Carpet Bin 9' 6"</t>
  </si>
  <si>
    <t>40''.xlsm</t>
  </si>
  <si>
    <t>Apron - Half (Canvas)</t>
  </si>
  <si>
    <t>48''.xlsm</t>
  </si>
  <si>
    <t>F/S-S/C without pocket</t>
  </si>
  <si>
    <t>60''.xlsm</t>
  </si>
  <si>
    <t>Mattress Bin(4 bed)</t>
  </si>
  <si>
    <t>72''.xlsm</t>
  </si>
  <si>
    <t>S/C</t>
  </si>
  <si>
    <t>74''.xlsm</t>
  </si>
  <si>
    <t>Bag - Cargo</t>
  </si>
  <si>
    <t>77''.xlsm</t>
  </si>
  <si>
    <t>Bike Cover</t>
  </si>
  <si>
    <t>80''.xlsm</t>
  </si>
  <si>
    <t>Handles</t>
  </si>
  <si>
    <t>NC.xlsm</t>
  </si>
  <si>
    <t>Round Bag 33" without tape</t>
  </si>
  <si>
    <t>Gada.xlsm</t>
  </si>
  <si>
    <t>Bag - Top Loop</t>
  </si>
  <si>
    <t>Bag - Square Bag</t>
  </si>
  <si>
    <t>37"</t>
  </si>
  <si>
    <t>Jkt F/D</t>
  </si>
  <si>
    <t>40"</t>
  </si>
  <si>
    <t>Spr</t>
  </si>
  <si>
    <t>48"</t>
  </si>
  <si>
    <t>Round Bag 24" without tape</t>
  </si>
  <si>
    <t>Round Bag 36" without tape</t>
  </si>
  <si>
    <t>60"</t>
  </si>
  <si>
    <t>72"</t>
  </si>
  <si>
    <t>Tent</t>
  </si>
  <si>
    <t>74"</t>
  </si>
  <si>
    <t>Bag - Harvester</t>
  </si>
  <si>
    <t>77"</t>
  </si>
  <si>
    <t>R/C-Single</t>
  </si>
  <si>
    <t>80"</t>
  </si>
  <si>
    <t>N/C</t>
  </si>
  <si>
    <t>N/C Body Cover - Plain</t>
  </si>
  <si>
    <t>N/C Apron - Full</t>
  </si>
  <si>
    <t>N/C Poncho</t>
  </si>
  <si>
    <t>Gada</t>
  </si>
  <si>
    <t>Mattress Cover - Gada</t>
  </si>
  <si>
    <t>Cloth Used</t>
  </si>
  <si>
    <t>Cloth Name/Size</t>
  </si>
  <si>
    <t>36" Black</t>
  </si>
  <si>
    <t>36" OG Battalion</t>
  </si>
  <si>
    <t>36" OG Checks</t>
  </si>
  <si>
    <t>36" OG Military</t>
  </si>
  <si>
    <t>36" OG Surya</t>
  </si>
  <si>
    <t>36" OG Surya Military</t>
  </si>
  <si>
    <t>36" White</t>
  </si>
  <si>
    <t>37" Small Checks</t>
  </si>
  <si>
    <t>40" Infantry</t>
  </si>
  <si>
    <t>40" Infantry Checks</t>
  </si>
  <si>
    <t>48" White</t>
  </si>
  <si>
    <t>60" Premium Bright</t>
  </si>
  <si>
    <t>60" OG Premium Checks</t>
  </si>
  <si>
    <t>60" White</t>
  </si>
  <si>
    <t>72" OG Checks</t>
  </si>
  <si>
    <t>72" OG Premium</t>
  </si>
  <si>
    <t>72" Premium Bright</t>
  </si>
  <si>
    <t>72" White</t>
  </si>
  <si>
    <t>74" Trojan(Big Checks)</t>
  </si>
  <si>
    <t>77" OG Checks</t>
  </si>
  <si>
    <t>80" White</t>
  </si>
  <si>
    <t>Black Net</t>
  </si>
  <si>
    <t>Black Suiting</t>
  </si>
  <si>
    <t>Khaki Fabric</t>
  </si>
  <si>
    <t>Mapsa green</t>
  </si>
  <si>
    <t>Mapsa Green</t>
  </si>
  <si>
    <t>Mapsa OG</t>
  </si>
  <si>
    <t>N/C Royal Blue</t>
  </si>
  <si>
    <t>N/C Royal Green</t>
  </si>
  <si>
    <t>N/C Royal Grey</t>
  </si>
  <si>
    <t>N/C Royal Red</t>
  </si>
  <si>
    <t>Navy Suiting</t>
  </si>
  <si>
    <t>Off White Suiting</t>
  </si>
  <si>
    <t>Silver Green</t>
  </si>
  <si>
    <t>Material Input</t>
  </si>
  <si>
    <t>Product Made</t>
  </si>
  <si>
    <t>Quantity</t>
  </si>
  <si>
    <t>Actual Average</t>
  </si>
  <si>
    <t>Lw. Exp. Avg</t>
  </si>
  <si>
    <t>Hi. Exp. Avg</t>
  </si>
  <si>
    <t>Efficiency?</t>
  </si>
  <si>
    <t>Quantity Used</t>
  </si>
  <si>
    <t>Name of Item</t>
  </si>
  <si>
    <t>Finishing</t>
  </si>
  <si>
    <t>R/C-F/D</t>
  </si>
  <si>
    <t>Spr York</t>
  </si>
  <si>
    <t>Bag - Gada</t>
  </si>
  <si>
    <r>
      <t xml:space="preserve">Bag - Leaf Spl - </t>
    </r>
    <r>
      <rPr>
        <b/>
        <i/>
        <u/>
        <sz val="11"/>
        <color theme="1"/>
        <rFont val="Calibri"/>
        <family val="2"/>
        <scheme val="minor"/>
      </rPr>
      <t>Nylon</t>
    </r>
  </si>
  <si>
    <t xml:space="preserve">Bag - Luggage Bag XXL </t>
  </si>
  <si>
    <t>Bag - Shopping Bag</t>
  </si>
  <si>
    <r>
      <t xml:space="preserve">Tape Attached for bag- </t>
    </r>
    <r>
      <rPr>
        <b/>
        <i/>
        <u/>
        <sz val="11"/>
        <color theme="1"/>
        <rFont val="Calibri"/>
        <family val="2"/>
        <scheme val="minor"/>
      </rPr>
      <t>Nylon</t>
    </r>
  </si>
  <si>
    <t>Partha XL - 12' X 15'</t>
  </si>
  <si>
    <t>Partha XXL - 15' X 18'</t>
  </si>
  <si>
    <t>Partha XXXL - 18' X 21'</t>
  </si>
  <si>
    <r>
      <t xml:space="preserve">Apron - Baby (School) - </t>
    </r>
    <r>
      <rPr>
        <b/>
        <i/>
        <u/>
        <sz val="11"/>
        <color theme="1"/>
        <rFont val="Calibri"/>
        <family val="2"/>
        <scheme val="minor"/>
      </rPr>
      <t>Cotton</t>
    </r>
  </si>
  <si>
    <r>
      <t xml:space="preserve">Apron Full Spl - </t>
    </r>
    <r>
      <rPr>
        <b/>
        <i/>
        <u/>
        <sz val="11"/>
        <color theme="1"/>
        <rFont val="Calibri"/>
        <family val="2"/>
        <scheme val="minor"/>
      </rPr>
      <t>Cotton</t>
    </r>
  </si>
  <si>
    <t>Pant - Rain (Canvas)</t>
  </si>
  <si>
    <t>N/C F/S-S/C</t>
  </si>
  <si>
    <t>N/C Body Cover - H/D</t>
  </si>
  <si>
    <t>N/C Body Cover - York</t>
  </si>
  <si>
    <t>N/C R/C - H/D</t>
  </si>
  <si>
    <t>N/C R/C Single</t>
  </si>
  <si>
    <t>N/C Rain Cape</t>
  </si>
  <si>
    <t>N/C H/D Attach (Back York)</t>
  </si>
  <si>
    <t>N/C Partha XXL - 15 X 18'</t>
  </si>
  <si>
    <t>N/C Apron - Half</t>
  </si>
  <si>
    <t>N/C Apron - Spl (Binding/Pocket)</t>
  </si>
  <si>
    <t>N/C Bulking Sheet</t>
  </si>
  <si>
    <t>Mattress Bin(2 bed)</t>
  </si>
  <si>
    <r>
      <t xml:space="preserve">Mattress Cover - </t>
    </r>
    <r>
      <rPr>
        <b/>
        <i/>
        <u/>
        <sz val="11"/>
        <color theme="1"/>
        <rFont val="Calibri"/>
        <family val="2"/>
        <scheme val="minor"/>
      </rPr>
      <t>Gada</t>
    </r>
  </si>
  <si>
    <t>Machine Cover</t>
  </si>
  <si>
    <t>Bike Cover Lining</t>
  </si>
  <si>
    <r>
      <t xml:space="preserve">Shoe Cover (Set ) - </t>
    </r>
    <r>
      <rPr>
        <b/>
        <i/>
        <u/>
        <sz val="11"/>
        <color theme="1"/>
        <rFont val="Calibri"/>
        <family val="2"/>
        <scheme val="minor"/>
      </rPr>
      <t>Gada</t>
    </r>
  </si>
  <si>
    <r>
      <t xml:space="preserve">Parcel - </t>
    </r>
    <r>
      <rPr>
        <b/>
        <i/>
        <u/>
        <sz val="11"/>
        <color theme="1"/>
        <rFont val="Calibri"/>
        <family val="2"/>
        <scheme val="minor"/>
      </rPr>
      <t>Gada</t>
    </r>
  </si>
  <si>
    <r>
      <t xml:space="preserve">Head Cover - </t>
    </r>
    <r>
      <rPr>
        <b/>
        <i/>
        <u/>
        <sz val="11"/>
        <color theme="1"/>
        <rFont val="Calibri"/>
        <family val="2"/>
        <scheme val="minor"/>
      </rPr>
      <t>Net</t>
    </r>
  </si>
  <si>
    <t>Kaja and Button</t>
  </si>
  <si>
    <r>
      <t xml:space="preserve">Cuff Sets for Coats - </t>
    </r>
    <r>
      <rPr>
        <b/>
        <i/>
        <u/>
        <sz val="11"/>
        <color theme="1"/>
        <rFont val="Calibri"/>
        <family val="2"/>
        <scheme val="minor"/>
      </rPr>
      <t>Polyester</t>
    </r>
  </si>
  <si>
    <r>
      <t xml:space="preserve">Pocket for Jacket/Coats - </t>
    </r>
    <r>
      <rPr>
        <b/>
        <i/>
        <u/>
        <sz val="11"/>
        <color theme="1"/>
        <rFont val="Calibri"/>
        <family val="2"/>
        <scheme val="minor"/>
      </rPr>
      <t>Common</t>
    </r>
  </si>
  <si>
    <r>
      <t xml:space="preserve">Blanket Labelling - </t>
    </r>
    <r>
      <rPr>
        <b/>
        <i/>
        <u/>
        <sz val="11"/>
        <color theme="1"/>
        <rFont val="Calibri"/>
        <family val="2"/>
        <scheme val="minor"/>
      </rPr>
      <t>Label</t>
    </r>
  </si>
  <si>
    <t>Pant - Waist Alter</t>
  </si>
  <si>
    <t>Pant - Length Alter</t>
  </si>
  <si>
    <r>
      <t xml:space="preserve">Napkin - </t>
    </r>
    <r>
      <rPr>
        <b/>
        <i/>
        <u/>
        <sz val="11"/>
        <color theme="1"/>
        <rFont val="Calibri"/>
        <family val="2"/>
        <scheme val="minor"/>
      </rPr>
      <t>Cotton</t>
    </r>
  </si>
  <si>
    <t>Date</t>
  </si>
  <si>
    <t>Last updated on : 11 - 2 - 2010</t>
  </si>
  <si>
    <t>Remarks(M)</t>
  </si>
  <si>
    <t>Quilt Cover</t>
  </si>
  <si>
    <t>S/C Black</t>
  </si>
  <si>
    <t>S/C Grey</t>
  </si>
  <si>
    <t>HW - Spr</t>
  </si>
  <si>
    <t>HW - Harvester Bag</t>
  </si>
  <si>
    <t>HW - R/C Single</t>
  </si>
  <si>
    <t>Jacket Single</t>
  </si>
  <si>
    <t>Waist Coat</t>
  </si>
  <si>
    <t>S/C H/D</t>
  </si>
  <si>
    <t>B - Premium</t>
  </si>
  <si>
    <t>B - Surya</t>
  </si>
  <si>
    <t>B - Battalion</t>
  </si>
  <si>
    <t>R/C Outer</t>
  </si>
  <si>
    <t>R/C Inner</t>
  </si>
  <si>
    <r>
      <t xml:space="preserve">Binding Tape Inner - </t>
    </r>
    <r>
      <rPr>
        <b/>
        <i/>
        <u/>
        <sz val="11"/>
        <color theme="1"/>
        <rFont val="Calibri"/>
        <family val="2"/>
        <scheme val="minor"/>
      </rPr>
      <t>Canvas</t>
    </r>
  </si>
  <si>
    <t>64" White</t>
  </si>
  <si>
    <t>64"</t>
  </si>
  <si>
    <t>Partha - Custom</t>
  </si>
  <si>
    <t>N/C Partha - Custom</t>
  </si>
  <si>
    <t>Size 8' x 4'</t>
  </si>
  <si>
    <t>INPUT OF THE WEEK</t>
  </si>
  <si>
    <t>Cutting</t>
  </si>
  <si>
    <t>Tailoring</t>
  </si>
  <si>
    <t>Hand Work</t>
  </si>
  <si>
    <t>Item</t>
  </si>
  <si>
    <t>Kumar-C</t>
  </si>
  <si>
    <t>Selvaraj-C</t>
  </si>
  <si>
    <t>Kumar</t>
  </si>
  <si>
    <t>Selvaraj</t>
  </si>
  <si>
    <t>Rathinam</t>
  </si>
  <si>
    <t>Kanagraj</t>
  </si>
  <si>
    <t>Loganathan</t>
  </si>
  <si>
    <t>Marshall</t>
  </si>
  <si>
    <t>Sathish</t>
  </si>
  <si>
    <t>[Tailor]</t>
  </si>
  <si>
    <t>HW1</t>
  </si>
  <si>
    <t>HW 2</t>
  </si>
  <si>
    <t>HW 3</t>
  </si>
  <si>
    <t>Saturday</t>
  </si>
  <si>
    <t>Sunday</t>
  </si>
  <si>
    <t>Monday</t>
  </si>
  <si>
    <t>Tuesday</t>
  </si>
  <si>
    <t>Wednesday</t>
  </si>
  <si>
    <t>Thursday</t>
  </si>
  <si>
    <t>Friday</t>
  </si>
  <si>
    <t>Advance paid</t>
  </si>
  <si>
    <t>Name</t>
  </si>
  <si>
    <t>Amount</t>
  </si>
  <si>
    <t>Weekly Totals by Person</t>
  </si>
  <si>
    <t>Balance Brought Forward</t>
  </si>
  <si>
    <t>Balance Carried Forward</t>
  </si>
  <si>
    <t>Wages Summary</t>
  </si>
  <si>
    <t>Wage due this week</t>
  </si>
  <si>
    <t>Advances Taken</t>
  </si>
  <si>
    <t>Actual Paid</t>
  </si>
  <si>
    <t>Labour Rate Schedule</t>
  </si>
  <si>
    <t xml:space="preserve">Old Cumulative </t>
  </si>
  <si>
    <t>Weekly Total by Process</t>
  </si>
  <si>
    <t>Pending to be processed</t>
  </si>
  <si>
    <t>HW</t>
  </si>
  <si>
    <t>balance</t>
  </si>
  <si>
    <t>Cut</t>
  </si>
  <si>
    <t>Tailored</t>
  </si>
  <si>
    <t>HWed</t>
  </si>
  <si>
    <t xml:space="preserve">balance </t>
  </si>
</sst>
</file>

<file path=xl/styles.xml><?xml version="1.0" encoding="utf-8"?>
<styleSheet xmlns="http://schemas.openxmlformats.org/spreadsheetml/2006/main">
  <numFmts count="9">
    <numFmt numFmtId="164" formatCode="0.0000"/>
    <numFmt numFmtId="166" formatCode="0.000"/>
    <numFmt numFmtId="167" formatCode="[$-409]d\-mmm\-yy;@"/>
    <numFmt numFmtId="168" formatCode="&quot;TO    &quot;[$-409]d\-mmm\-yy;@"/>
    <numFmt numFmtId="169" formatCode="d\-mmm\-yyyy"/>
    <numFmt numFmtId="170" formatCode="_(* #,##0_);_(* \(#,##0\);_(* &quot; &quot;_);_(@_)"/>
    <numFmt numFmtId="171" formatCode="[$Rs]\ #,##0.00_);\([$Rs]\ #,##0.00\)"/>
    <numFmt numFmtId="172" formatCode="&quot;Rs.&quot;#,##0_);\(&quot;Rs.&quot;#,##0\)"/>
    <numFmt numFmtId="173" formatCode="_-&quot;RS.&quot;* #,##0.00_-;\-&quot;RS.&quot;* #,##0.00_-;_-&quot;RS.&quot;* &quot;-&quot;??_-;_-@_-"/>
  </numFmts>
  <fonts count="24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2" tint="-0.74999237037263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10"/>
      <color theme="5" tint="-0.499984740745262"/>
      <name val="Arial"/>
      <family val="2"/>
    </font>
    <font>
      <b/>
      <u/>
      <sz val="10"/>
      <color rgb="FF0070C0"/>
      <name val="Arial"/>
      <family val="2"/>
    </font>
    <font>
      <b/>
      <u/>
      <sz val="10"/>
      <name val="Arial"/>
      <family val="2"/>
    </font>
    <font>
      <b/>
      <u/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0"/>
      <color theme="4" tint="-0.249977111117893"/>
      <name val="Arial"/>
      <family val="2"/>
    </font>
    <font>
      <b/>
      <sz val="16"/>
      <color theme="2" tint="-0.749992370372631"/>
      <name val="Calibri"/>
      <family val="2"/>
      <scheme val="minor"/>
    </font>
    <font>
      <b/>
      <sz val="18"/>
      <name val="Arial"/>
      <family val="2"/>
    </font>
    <font>
      <u/>
      <sz val="12"/>
      <color theme="10"/>
      <name val="Calibri"/>
      <family val="2"/>
    </font>
    <font>
      <b/>
      <sz val="24"/>
      <color indexed="81"/>
      <name val="Tahoma"/>
      <family val="2"/>
    </font>
    <font>
      <sz val="24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7DCE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D9C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47">
    <xf numFmtId="0" fontId="0" fillId="0" borderId="0" xfId="0"/>
    <xf numFmtId="0" fontId="0" fillId="0" borderId="0" xfId="0" applyNumberFormat="1"/>
    <xf numFmtId="0" fontId="1" fillId="0" borderId="0" xfId="1" applyAlignment="1" applyProtection="1"/>
    <xf numFmtId="0" fontId="2" fillId="0" borderId="0" xfId="0" applyFont="1"/>
    <xf numFmtId="0" fontId="0" fillId="2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5" fillId="0" borderId="0" xfId="0" applyFont="1"/>
    <xf numFmtId="0" fontId="0" fillId="0" borderId="1" xfId="0" applyFill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0" fillId="0" borderId="2" xfId="0" applyFont="1" applyFill="1" applyBorder="1" applyAlignment="1">
      <alignment wrapText="1"/>
    </xf>
    <xf numFmtId="0" fontId="0" fillId="0" borderId="3" xfId="0" applyFill="1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3" xfId="0" applyFont="1" applyFill="1" applyBorder="1" applyAlignment="1">
      <alignment wrapText="1"/>
    </xf>
    <xf numFmtId="0" fontId="0" fillId="0" borderId="6" xfId="0" applyFont="1" applyFill="1" applyBorder="1" applyAlignment="1">
      <alignment wrapText="1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Border="1"/>
    <xf numFmtId="0" fontId="0" fillId="0" borderId="0" xfId="0" applyNumberFormat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7" fillId="3" borderId="0" xfId="0" applyFont="1" applyFill="1"/>
    <xf numFmtId="0" fontId="7" fillId="0" borderId="0" xfId="0" applyFont="1"/>
    <xf numFmtId="0" fontId="0" fillId="0" borderId="6" xfId="0" applyFill="1" applyBorder="1" applyAlignment="1">
      <alignment wrapText="1"/>
    </xf>
    <xf numFmtId="0" fontId="0" fillId="4" borderId="0" xfId="0" applyFill="1" applyAlignment="1">
      <alignment horizontal="center"/>
    </xf>
    <xf numFmtId="166" fontId="7" fillId="0" borderId="0" xfId="0" applyNumberFormat="1" applyFont="1"/>
    <xf numFmtId="166" fontId="0" fillId="0" borderId="0" xfId="0" applyNumberFormat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0" fontId="8" fillId="5" borderId="7" xfId="0" applyFont="1" applyFill="1" applyBorder="1" applyAlignment="1">
      <alignment horizontal="center"/>
    </xf>
    <xf numFmtId="167" fontId="8" fillId="5" borderId="7" xfId="0" applyNumberFormat="1" applyFont="1" applyFill="1" applyBorder="1" applyAlignment="1">
      <alignment horizontal="center"/>
    </xf>
    <xf numFmtId="168" fontId="8" fillId="5" borderId="7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Fill="1"/>
    <xf numFmtId="0" fontId="10" fillId="0" borderId="4" xfId="0" applyFont="1" applyFill="1" applyBorder="1"/>
    <xf numFmtId="0" fontId="10" fillId="0" borderId="8" xfId="0" applyFont="1" applyFill="1" applyBorder="1" applyAlignment="1">
      <alignment horizontal="centerContinuous"/>
    </xf>
    <xf numFmtId="0" fontId="10" fillId="0" borderId="9" xfId="0" applyFont="1" applyFill="1" applyBorder="1" applyAlignment="1">
      <alignment horizontal="centerContinuous"/>
    </xf>
    <xf numFmtId="0" fontId="10" fillId="0" borderId="10" xfId="0" applyFont="1" applyFill="1" applyBorder="1" applyAlignment="1">
      <alignment horizontal="centerContinuous"/>
    </xf>
    <xf numFmtId="0" fontId="10" fillId="0" borderId="11" xfId="0" applyFont="1" applyFill="1" applyBorder="1" applyAlignment="1">
      <alignment horizontal="centerContinuous"/>
    </xf>
    <xf numFmtId="0" fontId="10" fillId="0" borderId="0" xfId="0" applyFont="1" applyFill="1"/>
    <xf numFmtId="0" fontId="10" fillId="0" borderId="0" xfId="0" applyFont="1"/>
    <xf numFmtId="0" fontId="10" fillId="0" borderId="5" xfId="0" applyFont="1" applyFill="1" applyBorder="1"/>
    <xf numFmtId="0" fontId="11" fillId="0" borderId="12" xfId="0" applyFont="1" applyFill="1" applyBorder="1"/>
    <xf numFmtId="0" fontId="11" fillId="0" borderId="13" xfId="0" applyFont="1" applyFill="1" applyBorder="1"/>
    <xf numFmtId="0" fontId="11" fillId="0" borderId="12" xfId="0" applyFont="1" applyFill="1" applyBorder="1" applyAlignment="1">
      <alignment horizontal="center"/>
    </xf>
    <xf numFmtId="0" fontId="11" fillId="0" borderId="5" xfId="0" applyFont="1" applyFill="1" applyBorder="1"/>
    <xf numFmtId="0" fontId="12" fillId="6" borderId="6" xfId="0" applyFont="1" applyFill="1" applyBorder="1"/>
    <xf numFmtId="169" fontId="13" fillId="6" borderId="14" xfId="0" applyNumberFormat="1" applyFont="1" applyFill="1" applyBorder="1"/>
    <xf numFmtId="0" fontId="9" fillId="6" borderId="15" xfId="0" applyFont="1" applyFill="1" applyBorder="1"/>
    <xf numFmtId="0" fontId="9" fillId="6" borderId="14" xfId="0" applyFont="1" applyFill="1" applyBorder="1"/>
    <xf numFmtId="0" fontId="9" fillId="6" borderId="6" xfId="0" applyFont="1" applyFill="1" applyBorder="1"/>
    <xf numFmtId="0" fontId="9" fillId="6" borderId="0" xfId="0" applyFont="1" applyFill="1"/>
    <xf numFmtId="0" fontId="10" fillId="0" borderId="16" xfId="0" applyFont="1" applyFill="1" applyBorder="1" applyProtection="1"/>
    <xf numFmtId="0" fontId="9" fillId="0" borderId="17" xfId="0" applyFont="1" applyFill="1" applyBorder="1" applyAlignment="1" applyProtection="1">
      <alignment horizontal="center"/>
    </xf>
    <xf numFmtId="0" fontId="9" fillId="0" borderId="18" xfId="0" applyFont="1" applyFill="1" applyBorder="1" applyAlignment="1" applyProtection="1">
      <alignment horizontal="center"/>
    </xf>
    <xf numFmtId="0" fontId="9" fillId="0" borderId="16" xfId="0" applyFont="1" applyFill="1" applyBorder="1" applyAlignment="1" applyProtection="1">
      <alignment horizontal="center"/>
    </xf>
    <xf numFmtId="170" fontId="9" fillId="0" borderId="0" xfId="0" applyNumberFormat="1" applyFont="1" applyFill="1"/>
    <xf numFmtId="0" fontId="14" fillId="0" borderId="17" xfId="0" applyFont="1" applyFill="1" applyBorder="1" applyAlignment="1" applyProtection="1">
      <alignment horizontal="center"/>
    </xf>
    <xf numFmtId="0" fontId="10" fillId="0" borderId="19" xfId="0" applyFont="1" applyFill="1" applyBorder="1" applyProtection="1"/>
    <xf numFmtId="0" fontId="9" fillId="0" borderId="20" xfId="0" applyFont="1" applyFill="1" applyBorder="1" applyAlignment="1" applyProtection="1">
      <alignment horizontal="center"/>
    </xf>
    <xf numFmtId="0" fontId="9" fillId="0" borderId="21" xfId="0" applyFont="1" applyFill="1" applyBorder="1" applyAlignment="1" applyProtection="1">
      <alignment horizontal="center"/>
    </xf>
    <xf numFmtId="0" fontId="9" fillId="0" borderId="19" xfId="0" applyFont="1" applyFill="1" applyBorder="1" applyAlignment="1" applyProtection="1">
      <alignment horizontal="center"/>
    </xf>
    <xf numFmtId="0" fontId="9" fillId="0" borderId="22" xfId="0" applyFont="1" applyFill="1" applyBorder="1"/>
    <xf numFmtId="0" fontId="9" fillId="0" borderId="22" xfId="0" applyFont="1" applyBorder="1"/>
    <xf numFmtId="0" fontId="12" fillId="6" borderId="6" xfId="0" applyFont="1" applyFill="1" applyBorder="1" applyProtection="1"/>
    <xf numFmtId="169" fontId="13" fillId="6" borderId="14" xfId="0" applyNumberFormat="1" applyFont="1" applyFill="1" applyBorder="1" applyProtection="1"/>
    <xf numFmtId="0" fontId="9" fillId="6" borderId="15" xfId="0" applyFont="1" applyFill="1" applyBorder="1" applyProtection="1"/>
    <xf numFmtId="0" fontId="9" fillId="6" borderId="14" xfId="0" applyFont="1" applyFill="1" applyBorder="1" applyProtection="1"/>
    <xf numFmtId="0" fontId="9" fillId="6" borderId="14" xfId="0" applyFont="1" applyFill="1" applyBorder="1" applyAlignment="1" applyProtection="1">
      <alignment horizontal="center"/>
    </xf>
    <xf numFmtId="0" fontId="9" fillId="6" borderId="6" xfId="0" applyFont="1" applyFill="1" applyBorder="1" applyProtection="1"/>
    <xf numFmtId="170" fontId="9" fillId="0" borderId="0" xfId="0" applyNumberFormat="1" applyFont="1" applyFill="1" applyProtection="1"/>
    <xf numFmtId="0" fontId="9" fillId="0" borderId="0" xfId="0" applyFont="1" applyFill="1" applyProtection="1"/>
    <xf numFmtId="0" fontId="9" fillId="6" borderId="0" xfId="0" applyFont="1" applyFill="1" applyProtection="1"/>
    <xf numFmtId="0" fontId="10" fillId="0" borderId="17" xfId="0" applyFont="1" applyFill="1" applyBorder="1"/>
    <xf numFmtId="0" fontId="10" fillId="0" borderId="16" xfId="0" applyFont="1" applyFill="1" applyBorder="1"/>
    <xf numFmtId="0" fontId="10" fillId="0" borderId="3" xfId="0" applyFont="1" applyFill="1" applyBorder="1"/>
    <xf numFmtId="0" fontId="9" fillId="6" borderId="14" xfId="0" applyFont="1" applyFill="1" applyBorder="1" applyAlignment="1">
      <alignment horizontal="center"/>
    </xf>
    <xf numFmtId="0" fontId="12" fillId="6" borderId="4" xfId="0" applyFont="1" applyFill="1" applyBorder="1"/>
    <xf numFmtId="169" fontId="13" fillId="6" borderId="14" xfId="0" applyNumberFormat="1" applyFont="1" applyFill="1" applyBorder="1" applyAlignment="1">
      <alignment horizontal="center"/>
    </xf>
    <xf numFmtId="0" fontId="9" fillId="6" borderId="23" xfId="0" applyFont="1" applyFill="1" applyBorder="1" applyAlignment="1">
      <alignment horizontal="center"/>
    </xf>
    <xf numFmtId="0" fontId="9" fillId="6" borderId="24" xfId="0" applyFont="1" applyFill="1" applyBorder="1" applyAlignment="1">
      <alignment horizontal="center"/>
    </xf>
    <xf numFmtId="0" fontId="9" fillId="6" borderId="4" xfId="0" applyFont="1" applyFill="1" applyBorder="1"/>
    <xf numFmtId="0" fontId="10" fillId="6" borderId="15" xfId="0" applyFont="1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10" fillId="0" borderId="25" xfId="0" applyFont="1" applyFill="1" applyBorder="1" applyAlignment="1">
      <alignment horizontal="center"/>
    </xf>
    <xf numFmtId="0" fontId="10" fillId="0" borderId="26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/>
    </xf>
    <xf numFmtId="0" fontId="15" fillId="0" borderId="28" xfId="0" applyFont="1" applyFill="1" applyBorder="1"/>
    <xf numFmtId="0" fontId="11" fillId="0" borderId="29" xfId="0" applyFont="1" applyFill="1" applyBorder="1"/>
    <xf numFmtId="0" fontId="15" fillId="0" borderId="3" xfId="0" applyFont="1" applyFill="1" applyBorder="1"/>
    <xf numFmtId="0" fontId="16" fillId="0" borderId="3" xfId="0" applyNumberFormat="1" applyFont="1" applyFill="1" applyBorder="1"/>
    <xf numFmtId="0" fontId="16" fillId="0" borderId="3" xfId="0" applyNumberFormat="1" applyFont="1" applyFill="1" applyBorder="1" applyAlignment="1">
      <alignment horizontal="center"/>
    </xf>
    <xf numFmtId="0" fontId="15" fillId="0" borderId="1" xfId="0" applyFont="1" applyFill="1" applyBorder="1"/>
    <xf numFmtId="171" fontId="16" fillId="0" borderId="1" xfId="0" applyNumberFormat="1" applyFont="1" applyFill="1" applyBorder="1"/>
    <xf numFmtId="172" fontId="9" fillId="0" borderId="0" xfId="0" applyNumberFormat="1" applyFont="1"/>
    <xf numFmtId="0" fontId="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0" fillId="0" borderId="0" xfId="0" applyFill="1"/>
    <xf numFmtId="0" fontId="16" fillId="0" borderId="22" xfId="0" applyFont="1" applyFill="1" applyBorder="1"/>
    <xf numFmtId="0" fontId="11" fillId="0" borderId="30" xfId="0" applyFont="1" applyBorder="1"/>
    <xf numFmtId="0" fontId="16" fillId="0" borderId="0" xfId="0" applyFont="1" applyFill="1"/>
    <xf numFmtId="0" fontId="16" fillId="0" borderId="17" xfId="0" applyFont="1" applyFill="1" applyBorder="1" applyAlignment="1" applyProtection="1">
      <alignment horizontal="center"/>
    </xf>
    <xf numFmtId="0" fontId="16" fillId="0" borderId="18" xfId="0" applyFont="1" applyFill="1" applyBorder="1" applyAlignment="1" applyProtection="1">
      <alignment horizontal="center"/>
    </xf>
    <xf numFmtId="0" fontId="16" fillId="0" borderId="16" xfId="0" applyFont="1" applyFill="1" applyBorder="1" applyAlignment="1" applyProtection="1">
      <alignment horizontal="center"/>
    </xf>
    <xf numFmtId="0" fontId="16" fillId="0" borderId="0" xfId="0" applyFont="1"/>
    <xf numFmtId="0" fontId="18" fillId="0" borderId="1" xfId="0" applyFont="1" applyBorder="1" applyAlignment="1">
      <alignment wrapText="1"/>
    </xf>
    <xf numFmtId="171" fontId="0" fillId="0" borderId="11" xfId="0" applyNumberFormat="1" applyFont="1" applyBorder="1"/>
    <xf numFmtId="0" fontId="0" fillId="0" borderId="0" xfId="0" applyBorder="1"/>
    <xf numFmtId="0" fontId="19" fillId="0" borderId="0" xfId="0" applyFont="1" applyBorder="1" applyAlignment="1">
      <alignment horizontal="center"/>
    </xf>
    <xf numFmtId="167" fontId="19" fillId="0" borderId="0" xfId="0" applyNumberFormat="1" applyFont="1" applyBorder="1" applyAlignment="1">
      <alignment horizontal="center"/>
    </xf>
    <xf numFmtId="168" fontId="19" fillId="0" borderId="0" xfId="0" applyNumberFormat="1" applyFont="1" applyBorder="1" applyAlignment="1">
      <alignment horizontal="center"/>
    </xf>
    <xf numFmtId="0" fontId="20" fillId="0" borderId="0" xfId="0" applyFont="1" applyAlignment="1"/>
    <xf numFmtId="0" fontId="17" fillId="0" borderId="31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17" fillId="0" borderId="33" xfId="0" applyFont="1" applyBorder="1" applyAlignment="1">
      <alignment horizontal="center"/>
    </xf>
    <xf numFmtId="0" fontId="0" fillId="0" borderId="0" xfId="0" applyBorder="1" applyAlignment="1">
      <alignment horizontal="centerContinuous"/>
    </xf>
    <xf numFmtId="0" fontId="10" fillId="0" borderId="34" xfId="0" applyFont="1" applyBorder="1"/>
    <xf numFmtId="0" fontId="11" fillId="0" borderId="35" xfId="0" applyFont="1" applyBorder="1"/>
    <xf numFmtId="173" fontId="0" fillId="0" borderId="0" xfId="0" applyNumberFormat="1"/>
    <xf numFmtId="171" fontId="0" fillId="0" borderId="1" xfId="0" applyNumberFormat="1" applyFont="1" applyBorder="1"/>
    <xf numFmtId="0" fontId="18" fillId="7" borderId="1" xfId="0" applyFont="1" applyFill="1" applyBorder="1" applyAlignment="1">
      <alignment wrapText="1"/>
    </xf>
    <xf numFmtId="171" fontId="0" fillId="7" borderId="11" xfId="0" applyNumberFormat="1" applyFont="1" applyFill="1" applyBorder="1"/>
    <xf numFmtId="0" fontId="21" fillId="0" borderId="1" xfId="1" applyFont="1" applyBorder="1" applyAlignment="1" applyProtection="1">
      <alignment horizontal="center"/>
    </xf>
    <xf numFmtId="0" fontId="10" fillId="8" borderId="4" xfId="0" applyFont="1" applyFill="1" applyBorder="1" applyAlignment="1">
      <alignment horizontal="center" wrapText="1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wrapText="1"/>
    </xf>
    <xf numFmtId="0" fontId="10" fillId="0" borderId="1" xfId="0" applyFont="1" applyBorder="1"/>
    <xf numFmtId="0" fontId="0" fillId="0" borderId="1" xfId="0" applyBorder="1"/>
    <xf numFmtId="0" fontId="10" fillId="8" borderId="36" xfId="0" applyFont="1" applyFill="1" applyBorder="1" applyAlignment="1">
      <alignment horizontal="center" wrapText="1"/>
    </xf>
    <xf numFmtId="0" fontId="13" fillId="3" borderId="1" xfId="0" applyFont="1" applyFill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8" borderId="6" xfId="0" applyFont="1" applyFill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0" fillId="9" borderId="38" xfId="0" applyFont="1" applyFill="1" applyBorder="1" applyAlignment="1">
      <alignment horizontal="center"/>
    </xf>
    <xf numFmtId="169" fontId="7" fillId="3" borderId="0" xfId="0" applyNumberFormat="1" applyFont="1" applyFill="1"/>
    <xf numFmtId="169" fontId="0" fillId="3" borderId="0" xfId="0" applyNumberFormat="1" applyFill="1" applyAlignment="1">
      <alignment horizontal="center"/>
    </xf>
    <xf numFmtId="169" fontId="0" fillId="4" borderId="0" xfId="0" applyNumberFormat="1" applyFill="1" applyAlignment="1">
      <alignment horizontal="center"/>
    </xf>
    <xf numFmtId="169" fontId="0" fillId="3" borderId="0" xfId="0" applyNumberFormat="1" applyFill="1" applyBorder="1" applyAlignment="1">
      <alignment horizontal="center"/>
    </xf>
    <xf numFmtId="169" fontId="0" fillId="3" borderId="0" xfId="0" applyNumberFormat="1" applyFill="1"/>
  </cellXfs>
  <cellStyles count="2">
    <cellStyle name="Hyperlink" xfId="1" builtinId="8"/>
    <cellStyle name="Normal" xfId="0" builtinId="0"/>
  </cellStyles>
  <dxfs count="20">
    <dxf>
      <numFmt numFmtId="169" formatCode="d\-mmm\-yyyy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0" justifyLastLine="0" shrinkToFit="0" mergeCell="0" readingOrder="0"/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255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166" formatCode="0.000"/>
      <alignment horizontal="center" vertical="bottom" textRotation="0" wrapText="0" indent="0" relativeIndent="255" justifyLastLine="0" shrinkToFit="0" mergeCell="0" readingOrder="0"/>
    </dxf>
    <dxf>
      <numFmt numFmtId="166" formatCode="0.000"/>
      <alignment horizontal="center" vertical="bottom" textRotation="0" wrapText="0" indent="0" relativeIndent="255" justifyLastLine="0" shrinkToFit="0" mergeCell="0" readingOrder="0"/>
    </dxf>
    <dxf>
      <numFmt numFmtId="166" formatCode="0.000"/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 tint="0.249977111117893"/>
        <name val="Calibri"/>
        <scheme val="minor"/>
      </font>
    </dxf>
  </dxfs>
  <tableStyles count="0" defaultTableStyle="TableStyleMedium9" defaultPivotStyle="PivotStyleLight16"/>
  <colors>
    <mruColors>
      <color rgb="FFFF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sting%20Sheet%20of%20Nilga%20Produc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Week%20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Week%201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sting Sheet"/>
      <sheetName val="Production Cost"/>
      <sheetName val="Cloth Cost"/>
      <sheetName val="Sheet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tem"/>
      <sheetName val="Data Input Sheet"/>
      <sheetName val="Summary"/>
    </sheetNames>
    <sheetDataSet>
      <sheetData sheetId="0"/>
      <sheetData sheetId="1">
        <row r="3">
          <cell r="B3" t="str">
            <v>Kumar-C</v>
          </cell>
          <cell r="C3" t="str">
            <v>Selvaraj-C</v>
          </cell>
          <cell r="D3" t="str">
            <v>Kumar</v>
          </cell>
          <cell r="E3" t="str">
            <v>Selvaraj</v>
          </cell>
          <cell r="F3" t="str">
            <v>Rathinam</v>
          </cell>
          <cell r="G3" t="str">
            <v>Kanagraj</v>
          </cell>
          <cell r="H3" t="str">
            <v>Loganathan</v>
          </cell>
          <cell r="I3" t="str">
            <v>Marshall</v>
          </cell>
          <cell r="J3" t="str">
            <v>Sathish</v>
          </cell>
          <cell r="K3" t="str">
            <v>[Tailor]</v>
          </cell>
          <cell r="L3" t="str">
            <v>HW1</v>
          </cell>
          <cell r="M3" t="str">
            <v>HW 2</v>
          </cell>
          <cell r="N3" t="str">
            <v>HW 3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tem"/>
      <sheetName val="Data Input Sheet"/>
      <sheetName val="Summary"/>
    </sheetNames>
    <sheetDataSet>
      <sheetData sheetId="0" refreshError="1"/>
      <sheetData sheetId="1" refreshError="1"/>
      <sheetData sheetId="2">
        <row r="2">
          <cell r="B2">
            <v>6838.08</v>
          </cell>
          <cell r="C2">
            <v>0</v>
          </cell>
          <cell r="D2">
            <v>0</v>
          </cell>
          <cell r="E2">
            <v>1046.6500000000001</v>
          </cell>
          <cell r="F2">
            <v>4002.7</v>
          </cell>
          <cell r="G2">
            <v>6618.7</v>
          </cell>
          <cell r="H2">
            <v>4723.75</v>
          </cell>
          <cell r="I2">
            <v>5626.8</v>
          </cell>
          <cell r="J2">
            <v>3039</v>
          </cell>
          <cell r="K2">
            <v>0</v>
          </cell>
          <cell r="L2">
            <v>0</v>
          </cell>
          <cell r="M2" t="e">
            <v>#VALUE!</v>
          </cell>
          <cell r="N2">
            <v>0</v>
          </cell>
        </row>
      </sheetData>
    </sheetDataSet>
  </externalBook>
</externalLink>
</file>

<file path=xl/tables/table1.xml><?xml version="1.0" encoding="utf-8"?>
<table xmlns="http://schemas.openxmlformats.org/spreadsheetml/2006/main" id="2" name="Table3" displayName="Table3" ref="A1:J102" totalsRowShown="0" headerRowDxfId="19" dataDxfId="18">
  <autoFilter ref="A1:J102">
    <filterColumn colId="0"/>
    <filterColumn colId="8"/>
    <filterColumn colId="9"/>
  </autoFilter>
  <sortState ref="A2:J102">
    <sortCondition ref="A1:A102"/>
  </sortState>
  <tableColumns count="10">
    <tableColumn id="9" name="Date" dataDxfId="0"/>
    <tableColumn id="1" name="Material Input" dataDxfId="17"/>
    <tableColumn id="2" name="Quantity Used" dataDxfId="16"/>
    <tableColumn id="3" name="Product Made" dataDxfId="15"/>
    <tableColumn id="4" name="Quantity" dataDxfId="14"/>
    <tableColumn id="5" name="Actual Average" dataDxfId="13">
      <calculatedColumnFormula>Table3[[#This Row],[Quantity Used]]/Table3[[#This Row],[Quantity]]</calculatedColumnFormula>
    </tableColumn>
    <tableColumn id="6" name="Lw. Exp. Avg" dataDxfId="12"/>
    <tableColumn id="7" name="Hi. Exp. Avg" dataDxfId="11"/>
    <tableColumn id="8" name="Efficiency?" dataDxfId="10">
      <calculatedColumnFormula>IF(AND(Table3[[#This Row],[Actual Average]]&gt;Table3[[#This Row],[Lw. Exp. Avg]],Table3[[#This Row],[Actual Average]]&lt;Table3[[#This Row],[Hi. Exp. Avg]]),"✓"," ✗")</calculatedColumnFormula>
    </tableColumn>
    <tableColumn id="10" name="Remarks(M)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1" displayName="Table1" ref="A14:I25" totalsRowShown="0" headerRowDxfId="4" headerRowBorderDxfId="2" tableBorderDxfId="3" totalsRowBorderDxfId="1">
  <autoFilter ref="A14:I25"/>
  <tableColumns count="9">
    <tableColumn id="1" name="Item"/>
    <tableColumn id="2" name="Cutting"/>
    <tableColumn id="3" name="Tailoring"/>
    <tableColumn id="4" name="HW"/>
    <tableColumn id="5" name="balance"/>
    <tableColumn id="6" name="Cut"/>
    <tableColumn id="7" name="Tailored"/>
    <tableColumn id="8" name="HWed"/>
    <tableColumn id="9" name="balance 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Table2" displayName="Table2" ref="A1:C41" totalsRowShown="0" dataDxfId="8">
  <autoFilter ref="A1:C41"/>
  <tableColumns count="3">
    <tableColumn id="1" name="Cloth Size" dataDxfId="7"/>
    <tableColumn id="2" name="Product" dataDxfId="6"/>
    <tableColumn id="3" name="Average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Stock%20Book%20-%20Cutting%20by%20Week.xlsm" TargetMode="External"/><Relationship Id="rId1" Type="http://schemas.openxmlformats.org/officeDocument/2006/relationships/hyperlink" Target="Labour%20Wage%20Schedule.xlsx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Standards\77''.xlsm" TargetMode="External"/><Relationship Id="rId13" Type="http://schemas.openxmlformats.org/officeDocument/2006/relationships/table" Target="../tables/table3.xml"/><Relationship Id="rId3" Type="http://schemas.openxmlformats.org/officeDocument/2006/relationships/hyperlink" Target="Standards\40''.xlsm" TargetMode="External"/><Relationship Id="rId7" Type="http://schemas.openxmlformats.org/officeDocument/2006/relationships/hyperlink" Target="Standards\74''.xlsm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Standards\37''.xlsm" TargetMode="External"/><Relationship Id="rId1" Type="http://schemas.openxmlformats.org/officeDocument/2006/relationships/hyperlink" Target="Standards\36''.xlsm" TargetMode="External"/><Relationship Id="rId6" Type="http://schemas.openxmlformats.org/officeDocument/2006/relationships/hyperlink" Target="Standards\72''.xlsm" TargetMode="External"/><Relationship Id="rId11" Type="http://schemas.openxmlformats.org/officeDocument/2006/relationships/hyperlink" Target="Standards\Gada.xlsm" TargetMode="External"/><Relationship Id="rId5" Type="http://schemas.openxmlformats.org/officeDocument/2006/relationships/hyperlink" Target="Standards\60''.xlsm" TargetMode="External"/><Relationship Id="rId10" Type="http://schemas.openxmlformats.org/officeDocument/2006/relationships/hyperlink" Target="Standards\NC.xlsm" TargetMode="External"/><Relationship Id="rId4" Type="http://schemas.openxmlformats.org/officeDocument/2006/relationships/hyperlink" Target="Standards\48''.xlsm" TargetMode="External"/><Relationship Id="rId9" Type="http://schemas.openxmlformats.org/officeDocument/2006/relationships/hyperlink" Target="Standards\80''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02"/>
  <sheetViews>
    <sheetView tabSelected="1" topLeftCell="A7" workbookViewId="0">
      <selection activeCell="C16" sqref="C16"/>
    </sheetView>
  </sheetViews>
  <sheetFormatPr defaultRowHeight="15"/>
  <cols>
    <col min="1" max="1" width="15.85546875" style="146" bestFit="1" customWidth="1"/>
    <col min="2" max="2" width="22.7109375" style="22" customWidth="1"/>
    <col min="3" max="3" width="12.5703125" style="22" customWidth="1"/>
    <col min="4" max="4" width="25" style="22" customWidth="1"/>
    <col min="5" max="5" width="15.85546875" style="22" bestFit="1" customWidth="1"/>
    <col min="6" max="6" width="9.5703125" style="32" customWidth="1"/>
    <col min="7" max="8" width="8.42578125" style="32" customWidth="1"/>
    <col min="9" max="9" width="11" style="17" customWidth="1"/>
    <col min="10" max="10" width="30.28515625" style="22" customWidth="1"/>
  </cols>
  <sheetData>
    <row r="1" spans="1:10" s="26" customFormat="1">
      <c r="A1" s="142" t="s">
        <v>134</v>
      </c>
      <c r="B1" s="25" t="s">
        <v>86</v>
      </c>
      <c r="C1" s="25" t="s">
        <v>93</v>
      </c>
      <c r="D1" s="25" t="s">
        <v>87</v>
      </c>
      <c r="E1" s="25" t="s">
        <v>88</v>
      </c>
      <c r="F1" s="29" t="s">
        <v>89</v>
      </c>
      <c r="G1" s="29" t="s">
        <v>90</v>
      </c>
      <c r="H1" s="29" t="s">
        <v>91</v>
      </c>
      <c r="I1" s="26" t="s">
        <v>92</v>
      </c>
      <c r="J1" s="25" t="s">
        <v>136</v>
      </c>
    </row>
    <row r="2" spans="1:10">
      <c r="A2" s="143">
        <v>40221</v>
      </c>
      <c r="B2" s="23" t="s">
        <v>147</v>
      </c>
      <c r="C2" s="23">
        <v>16.600000000000001</v>
      </c>
      <c r="D2" s="23" t="s">
        <v>7</v>
      </c>
      <c r="E2" s="23">
        <v>12</v>
      </c>
      <c r="F2" s="30">
        <f>Table3[[#This Row],[Quantity Used]]/Table3[[#This Row],[Quantity]]</f>
        <v>1.3833333333333335</v>
      </c>
      <c r="G2" s="30">
        <v>0</v>
      </c>
      <c r="H2" s="30">
        <v>0</v>
      </c>
      <c r="I2" s="18" t="str">
        <f>IF(AND(Table3[[#This Row],[Actual Average]]&gt;Table3[[#This Row],[Lw. Exp. Avg]],Table3[[#This Row],[Actual Average]]&lt;Table3[[#This Row],[Hi. Exp. Avg]]),"✓"," ✗")</f>
        <v xml:space="preserve"> ✗</v>
      </c>
      <c r="J2" s="23"/>
    </row>
    <row r="3" spans="1:10">
      <c r="A3" s="143">
        <v>40222</v>
      </c>
      <c r="B3" s="23" t="s">
        <v>146</v>
      </c>
      <c r="C3" s="23">
        <v>23.7</v>
      </c>
      <c r="D3" s="23" t="s">
        <v>13</v>
      </c>
      <c r="E3" s="23">
        <v>16</v>
      </c>
      <c r="F3" s="30">
        <f>Table3[[#This Row],[Quantity Used]]/Table3[[#This Row],[Quantity]]</f>
        <v>1.48125</v>
      </c>
      <c r="G3" s="30">
        <v>0</v>
      </c>
      <c r="H3" s="30">
        <v>0</v>
      </c>
      <c r="I3" s="18" t="str">
        <f>IF(AND(Table3[[#This Row],[Actual Average]]&gt;Table3[[#This Row],[Lw. Exp. Avg]],Table3[[#This Row],[Actual Average]]&lt;Table3[[#This Row],[Hi. Exp. Avg]]),"✓"," ✗")</f>
        <v xml:space="preserve"> ✗</v>
      </c>
      <c r="J3" s="23"/>
    </row>
    <row r="4" spans="1:10">
      <c r="A4" s="143">
        <v>40222</v>
      </c>
      <c r="B4" s="23" t="s">
        <v>63</v>
      </c>
      <c r="C4" s="23">
        <v>61.4</v>
      </c>
      <c r="D4" s="23" t="s">
        <v>34</v>
      </c>
      <c r="E4" s="23">
        <v>70</v>
      </c>
      <c r="F4" s="30">
        <f>Table3[[#This Row],[Quantity Used]]/Table3[[#This Row],[Quantity]]</f>
        <v>0.87714285714285711</v>
      </c>
      <c r="G4" s="30">
        <v>0.64366336125000001</v>
      </c>
      <c r="H4" s="30">
        <v>0.67667173875000008</v>
      </c>
      <c r="I4" s="18" t="str">
        <f>IF(AND(Table3[[#This Row],[Actual Average]]&gt;Table3[[#This Row],[Lw. Exp. Avg]],Table3[[#This Row],[Actual Average]]&lt;Table3[[#This Row],[Hi. Exp. Avg]]),"✓"," ✗")</f>
        <v xml:space="preserve"> ✗</v>
      </c>
      <c r="J4" s="23"/>
    </row>
    <row r="5" spans="1:10">
      <c r="A5" s="143">
        <v>40224</v>
      </c>
      <c r="B5" s="23" t="s">
        <v>147</v>
      </c>
      <c r="C5" s="23">
        <v>18.3</v>
      </c>
      <c r="D5" s="23" t="s">
        <v>149</v>
      </c>
      <c r="E5" s="23">
        <v>10</v>
      </c>
      <c r="F5" s="30">
        <f>Table3[[#This Row],[Quantity Used]]/Table3[[#This Row],[Quantity]]</f>
        <v>1.83</v>
      </c>
      <c r="G5" s="30">
        <v>0</v>
      </c>
      <c r="H5" s="30">
        <v>0</v>
      </c>
      <c r="I5" s="18" t="str">
        <f>IF(AND(Table3[[#This Row],[Actual Average]]&gt;Table3[[#This Row],[Lw. Exp. Avg]],Table3[[#This Row],[Actual Average]]&lt;Table3[[#This Row],[Hi. Exp. Avg]]),"✓"," ✗")</f>
        <v xml:space="preserve"> ✗</v>
      </c>
      <c r="J5" s="23"/>
    </row>
    <row r="6" spans="1:10">
      <c r="A6" s="143">
        <v>40224</v>
      </c>
      <c r="B6" s="23" t="s">
        <v>147</v>
      </c>
      <c r="C6" s="23">
        <v>37.1</v>
      </c>
      <c r="D6" s="23" t="s">
        <v>7</v>
      </c>
      <c r="E6" s="23">
        <v>25</v>
      </c>
      <c r="F6" s="30">
        <f>Table3[[#This Row],[Quantity Used]]/Table3[[#This Row],[Quantity]]</f>
        <v>1.484</v>
      </c>
      <c r="G6" s="30">
        <v>0</v>
      </c>
      <c r="H6" s="30">
        <v>0</v>
      </c>
      <c r="I6" s="18" t="str">
        <f>IF(AND(Table3[[#This Row],[Actual Average]]&gt;Table3[[#This Row],[Lw. Exp. Avg]],Table3[[#This Row],[Actual Average]]&lt;Table3[[#This Row],[Hi. Exp. Avg]]),"✓"," ✗")</f>
        <v xml:space="preserve"> ✗</v>
      </c>
      <c r="J6" s="23"/>
    </row>
    <row r="7" spans="1:10">
      <c r="A7" s="143">
        <v>40225</v>
      </c>
      <c r="B7" s="23" t="s">
        <v>146</v>
      </c>
      <c r="C7" s="23">
        <v>122.5</v>
      </c>
      <c r="D7" s="23" t="s">
        <v>13</v>
      </c>
      <c r="E7" s="23">
        <v>74</v>
      </c>
      <c r="F7" s="30">
        <f>Table3[[#This Row],[Quantity Used]]/Table3[[#This Row],[Quantity]]</f>
        <v>1.6554054054054055</v>
      </c>
      <c r="G7" s="30">
        <v>0</v>
      </c>
      <c r="H7" s="30">
        <v>0</v>
      </c>
      <c r="I7" s="18" t="str">
        <f>IF(AND(Table3[[#This Row],[Actual Average]]&gt;Table3[[#This Row],[Lw. Exp. Avg]],Table3[[#This Row],[Actual Average]]&lt;Table3[[#This Row],[Hi. Exp. Avg]]),"✓"," ✗")</f>
        <v xml:space="preserve"> ✗</v>
      </c>
      <c r="J7" s="23"/>
    </row>
    <row r="8" spans="1:10">
      <c r="A8" s="143">
        <v>40226</v>
      </c>
      <c r="B8" s="23" t="s">
        <v>147</v>
      </c>
      <c r="C8" s="23">
        <v>64.3</v>
      </c>
      <c r="D8" s="23" t="s">
        <v>145</v>
      </c>
      <c r="E8" s="23">
        <v>50</v>
      </c>
      <c r="F8" s="30">
        <f>Table3[[#This Row],[Quantity Used]]/Table3[[#This Row],[Quantity]]</f>
        <v>1.286</v>
      </c>
      <c r="G8" s="30">
        <v>0</v>
      </c>
      <c r="H8" s="30">
        <v>0</v>
      </c>
      <c r="I8" s="18" t="str">
        <f>IF(AND(Table3[[#This Row],[Actual Average]]&gt;Table3[[#This Row],[Lw. Exp. Avg]],Table3[[#This Row],[Actual Average]]&lt;Table3[[#This Row],[Hi. Exp. Avg]]),"✓"," ✗")</f>
        <v xml:space="preserve"> ✗</v>
      </c>
      <c r="J8" s="23"/>
    </row>
    <row r="9" spans="1:10">
      <c r="A9" s="143">
        <v>40227</v>
      </c>
      <c r="B9" s="23" t="s">
        <v>72</v>
      </c>
      <c r="C9" s="23">
        <v>75.150000000000006</v>
      </c>
      <c r="D9" s="23" t="s">
        <v>34</v>
      </c>
      <c r="E9" s="23">
        <v>118</v>
      </c>
      <c r="F9" s="30">
        <f>Table3[[#This Row],[Quantity Used]]/Table3[[#This Row],[Quantity]]</f>
        <v>0.63686440677966105</v>
      </c>
      <c r="G9" s="30">
        <v>0.49073757524999995</v>
      </c>
      <c r="H9" s="30">
        <v>0.51590360474999997</v>
      </c>
      <c r="I9" s="18" t="str">
        <f>IF(AND(Table3[[#This Row],[Actual Average]]&gt;Table3[[#This Row],[Lw. Exp. Avg]],Table3[[#This Row],[Actual Average]]&lt;Table3[[#This Row],[Hi. Exp. Avg]]),"✓"," ✗")</f>
        <v xml:space="preserve"> ✗</v>
      </c>
      <c r="J9" s="23"/>
    </row>
    <row r="10" spans="1:10">
      <c r="A10" s="143">
        <v>40228</v>
      </c>
      <c r="B10" s="23" t="s">
        <v>65</v>
      </c>
      <c r="C10" s="23">
        <v>20.85</v>
      </c>
      <c r="D10" s="23" t="s">
        <v>101</v>
      </c>
      <c r="E10" s="23">
        <v>45</v>
      </c>
      <c r="F10" s="30">
        <f>Table3[[#This Row],[Quantity Used]]/Table3[[#This Row],[Quantity]]</f>
        <v>0.46333333333333337</v>
      </c>
      <c r="G10" s="30">
        <v>0</v>
      </c>
      <c r="H10" s="30">
        <v>0</v>
      </c>
      <c r="I10" s="18" t="str">
        <f>IF(AND(Table3[[#This Row],[Actual Average]]&gt;Table3[[#This Row],[Lw. Exp. Avg]],Table3[[#This Row],[Actual Average]]&lt;Table3[[#This Row],[Hi. Exp. Avg]]),"✓"," ✗")</f>
        <v xml:space="preserve"> ✗</v>
      </c>
      <c r="J10" s="23"/>
    </row>
    <row r="11" spans="1:10">
      <c r="A11" s="143">
        <v>40228</v>
      </c>
      <c r="B11" s="23" t="s">
        <v>152</v>
      </c>
      <c r="C11" s="23">
        <v>25.2</v>
      </c>
      <c r="D11" s="23" t="s">
        <v>101</v>
      </c>
      <c r="E11" s="23">
        <v>55</v>
      </c>
      <c r="F11" s="30">
        <f>Table3[[#This Row],[Quantity Used]]/Table3[[#This Row],[Quantity]]</f>
        <v>0.45818181818181819</v>
      </c>
      <c r="G11" s="30">
        <v>0</v>
      </c>
      <c r="H11" s="30">
        <v>0</v>
      </c>
      <c r="I11" s="18" t="str">
        <f>IF(AND(Table3[[#This Row],[Actual Average]]&gt;Table3[[#This Row],[Lw. Exp. Avg]],Table3[[#This Row],[Actual Average]]&lt;Table3[[#This Row],[Hi. Exp. Avg]]),"✓"," ✗")</f>
        <v xml:space="preserve"> ✗</v>
      </c>
      <c r="J11" s="23"/>
    </row>
    <row r="12" spans="1:10">
      <c r="A12" s="144"/>
      <c r="B12" s="28"/>
      <c r="C12" s="28"/>
      <c r="D12" s="28"/>
      <c r="E12" s="28"/>
      <c r="F12" s="30" t="e">
        <f>Table3[[#This Row],[Quantity Used]]/Table3[[#This Row],[Quantity]]</f>
        <v>#DIV/0!</v>
      </c>
      <c r="G12" s="30"/>
      <c r="H12" s="30"/>
      <c r="I12" s="18" t="e">
        <f>IF(AND(Table3[[#This Row],[Actual Average]]&gt;Table3[[#This Row],[Lw. Exp. Avg]],Table3[[#This Row],[Actual Average]]&lt;Table3[[#This Row],[Hi. Exp. Avg]]),"✓"," ✗")</f>
        <v>#DIV/0!</v>
      </c>
      <c r="J12" s="23"/>
    </row>
    <row r="13" spans="1:10">
      <c r="A13" s="143">
        <v>40231</v>
      </c>
      <c r="B13" s="23" t="s">
        <v>72</v>
      </c>
      <c r="C13" s="23">
        <v>31</v>
      </c>
      <c r="D13" s="23" t="s">
        <v>34</v>
      </c>
      <c r="E13" s="23">
        <v>50</v>
      </c>
      <c r="F13" s="30">
        <f>Table3[[#This Row],[Quantity Used]]/Table3[[#This Row],[Quantity]]</f>
        <v>0.62</v>
      </c>
      <c r="G13" s="30">
        <v>0.49073757524999995</v>
      </c>
      <c r="H13" s="30">
        <v>0.51590360474999997</v>
      </c>
      <c r="I13" s="18" t="str">
        <f>IF(AND(Table3[[#This Row],[Actual Average]]&gt;Table3[[#This Row],[Lw. Exp. Avg]],Table3[[#This Row],[Actual Average]]&lt;Table3[[#This Row],[Hi. Exp. Avg]]),"✓"," ✗")</f>
        <v xml:space="preserve"> ✗</v>
      </c>
      <c r="J13" s="23"/>
    </row>
    <row r="14" spans="1:10">
      <c r="A14" s="145">
        <v>40231</v>
      </c>
      <c r="B14" s="24" t="s">
        <v>72</v>
      </c>
      <c r="C14" s="24">
        <v>2.56</v>
      </c>
      <c r="D14" s="24" t="s">
        <v>154</v>
      </c>
      <c r="E14" s="24">
        <v>1</v>
      </c>
      <c r="F14" s="31">
        <f>Table3[[#This Row],[Quantity Used]]/Table3[[#This Row],[Quantity]]</f>
        <v>2.56</v>
      </c>
      <c r="G14" s="31">
        <v>0</v>
      </c>
      <c r="H14" s="31">
        <v>0</v>
      </c>
      <c r="I14" s="21" t="str">
        <f>IF(AND(Table3[[#This Row],[Actual Average]]&gt;Table3[[#This Row],[Lw. Exp. Avg]],Table3[[#This Row],[Actual Average]]&lt;Table3[[#This Row],[Hi. Exp. Avg]]),"✓"," ✗")</f>
        <v xml:space="preserve"> ✗</v>
      </c>
      <c r="J14" s="24" t="s">
        <v>156</v>
      </c>
    </row>
    <row r="15" spans="1:10">
      <c r="A15" s="145">
        <v>40231</v>
      </c>
      <c r="B15" s="24" t="s">
        <v>57</v>
      </c>
      <c r="C15" s="24">
        <v>16.649999999999999</v>
      </c>
      <c r="D15" s="24" t="s">
        <v>7</v>
      </c>
      <c r="E15" s="24">
        <v>6</v>
      </c>
      <c r="F15" s="31">
        <f>Table3[[#This Row],[Quantity Used]]/Table3[[#This Row],[Quantity]]</f>
        <v>2.7749999999999999</v>
      </c>
      <c r="G15" s="31">
        <v>2.3317125000000001</v>
      </c>
      <c r="H15" s="31">
        <v>2.4512875000000003</v>
      </c>
      <c r="I15" s="21" t="str">
        <f>IF(AND(Table3[[#This Row],[Actual Average]]&gt;Table3[[#This Row],[Lw. Exp. Avg]],Table3[[#This Row],[Actual Average]]&lt;Table3[[#This Row],[Hi. Exp. Avg]]),"✓"," ✗")</f>
        <v xml:space="preserve"> ✗</v>
      </c>
      <c r="J15" s="24"/>
    </row>
    <row r="16" spans="1:10">
      <c r="A16" s="145">
        <v>40232</v>
      </c>
      <c r="B16" s="24" t="s">
        <v>57</v>
      </c>
      <c r="C16" s="24">
        <v>58.65</v>
      </c>
      <c r="D16" s="24" t="s">
        <v>17</v>
      </c>
      <c r="E16" s="24">
        <v>50</v>
      </c>
      <c r="F16" s="31">
        <f>Table3[[#This Row],[Quantity Used]]/Table3[[#This Row],[Quantity]]</f>
        <v>1.173</v>
      </c>
      <c r="G16" s="31">
        <v>1.9341075000000001</v>
      </c>
      <c r="H16" s="31">
        <v>2.0332924999999999</v>
      </c>
      <c r="I16" s="21" t="str">
        <f>IF(AND(Table3[[#This Row],[Actual Average]]&gt;Table3[[#This Row],[Lw. Exp. Avg]],Table3[[#This Row],[Actual Average]]&lt;Table3[[#This Row],[Hi. Exp. Avg]]),"✓"," ✗")</f>
        <v xml:space="preserve"> ✗</v>
      </c>
      <c r="J16" s="24"/>
    </row>
    <row r="17" spans="1:10">
      <c r="A17" s="145"/>
      <c r="B17" s="24"/>
      <c r="C17" s="24"/>
      <c r="D17" s="24"/>
      <c r="E17" s="24"/>
      <c r="F17" s="31" t="e">
        <f>Table3[[#This Row],[Quantity Used]]/Table3[[#This Row],[Quantity]]</f>
        <v>#DIV/0!</v>
      </c>
      <c r="G17" s="31">
        <v>0</v>
      </c>
      <c r="H17" s="31">
        <v>0</v>
      </c>
      <c r="I17" s="21" t="e">
        <f>IF(AND(Table3[[#This Row],[Actual Average]]&gt;Table3[[#This Row],[Lw. Exp. Avg]],Table3[[#This Row],[Actual Average]]&lt;Table3[[#This Row],[Hi. Exp. Avg]]),"✓"," ✗")</f>
        <v>#DIV/0!</v>
      </c>
      <c r="J17" s="24"/>
    </row>
    <row r="18" spans="1:10">
      <c r="A18" s="145"/>
      <c r="B18" s="24"/>
      <c r="C18" s="24"/>
      <c r="D18" s="24"/>
      <c r="E18" s="24"/>
      <c r="F18" s="31" t="e">
        <f>Table3[[#This Row],[Quantity Used]]/Table3[[#This Row],[Quantity]]</f>
        <v>#DIV/0!</v>
      </c>
      <c r="G18" s="31">
        <v>0</v>
      </c>
      <c r="H18" s="31">
        <v>0</v>
      </c>
      <c r="I18" s="21" t="e">
        <f>IF(AND(Table3[[#This Row],[Actual Average]]&gt;Table3[[#This Row],[Lw. Exp. Avg]],Table3[[#This Row],[Actual Average]]&lt;Table3[[#This Row],[Hi. Exp. Avg]]),"✓"," ✗")</f>
        <v>#DIV/0!</v>
      </c>
      <c r="J18" s="24"/>
    </row>
    <row r="19" spans="1:10">
      <c r="A19" s="145"/>
      <c r="B19" s="24"/>
      <c r="C19" s="24"/>
      <c r="D19" s="24"/>
      <c r="E19" s="24"/>
      <c r="F19" s="31" t="e">
        <f>Table3[[#This Row],[Quantity Used]]/Table3[[#This Row],[Quantity]]</f>
        <v>#DIV/0!</v>
      </c>
      <c r="G19" s="31">
        <v>0</v>
      </c>
      <c r="H19" s="31">
        <v>0</v>
      </c>
      <c r="I19" s="21" t="e">
        <f>IF(AND(Table3[[#This Row],[Actual Average]]&gt;Table3[[#This Row],[Lw. Exp. Avg]],Table3[[#This Row],[Actual Average]]&lt;Table3[[#This Row],[Hi. Exp. Avg]]),"✓"," ✗")</f>
        <v>#DIV/0!</v>
      </c>
      <c r="J19" s="24"/>
    </row>
    <row r="20" spans="1:10">
      <c r="A20" s="145"/>
      <c r="B20" s="24"/>
      <c r="C20" s="24"/>
      <c r="D20" s="24"/>
      <c r="E20" s="24"/>
      <c r="F20" s="31" t="e">
        <f>Table3[[#This Row],[Quantity Used]]/Table3[[#This Row],[Quantity]]</f>
        <v>#DIV/0!</v>
      </c>
      <c r="G20" s="31">
        <v>0</v>
      </c>
      <c r="H20" s="31">
        <v>0</v>
      </c>
      <c r="I20" s="21" t="e">
        <f>IF(AND(Table3[[#This Row],[Actual Average]]&gt;Table3[[#This Row],[Lw. Exp. Avg]],Table3[[#This Row],[Actual Average]]&lt;Table3[[#This Row],[Hi. Exp. Avg]]),"✓"," ✗")</f>
        <v>#DIV/0!</v>
      </c>
      <c r="J20" s="24"/>
    </row>
    <row r="21" spans="1:10">
      <c r="A21" s="145"/>
      <c r="B21" s="24"/>
      <c r="C21" s="24"/>
      <c r="D21" s="24"/>
      <c r="E21" s="24"/>
      <c r="F21" s="31" t="e">
        <f>Table3[[#This Row],[Quantity Used]]/Table3[[#This Row],[Quantity]]</f>
        <v>#DIV/0!</v>
      </c>
      <c r="G21" s="31">
        <v>0</v>
      </c>
      <c r="H21" s="31">
        <v>0</v>
      </c>
      <c r="I21" s="21" t="e">
        <f>IF(AND(Table3[[#This Row],[Actual Average]]&gt;Table3[[#This Row],[Lw. Exp. Avg]],Table3[[#This Row],[Actual Average]]&lt;Table3[[#This Row],[Hi. Exp. Avg]]),"✓"," ✗")</f>
        <v>#DIV/0!</v>
      </c>
      <c r="J21" s="24"/>
    </row>
    <row r="22" spans="1:10">
      <c r="A22" s="145"/>
      <c r="B22" s="24"/>
      <c r="C22" s="24"/>
      <c r="D22" s="24"/>
      <c r="E22" s="24"/>
      <c r="F22" s="31" t="e">
        <f>Table3[[#This Row],[Quantity Used]]/Table3[[#This Row],[Quantity]]</f>
        <v>#DIV/0!</v>
      </c>
      <c r="G22" s="31">
        <v>0</v>
      </c>
      <c r="H22" s="31">
        <v>0</v>
      </c>
      <c r="I22" s="21" t="e">
        <f>IF(AND(Table3[[#This Row],[Actual Average]]&gt;Table3[[#This Row],[Lw. Exp. Avg]],Table3[[#This Row],[Actual Average]]&lt;Table3[[#This Row],[Hi. Exp. Avg]]),"✓"," ✗")</f>
        <v>#DIV/0!</v>
      </c>
      <c r="J22" s="24"/>
    </row>
    <row r="23" spans="1:10">
      <c r="A23" s="145"/>
      <c r="B23" s="24"/>
      <c r="C23" s="24"/>
      <c r="D23" s="24"/>
      <c r="E23" s="24"/>
      <c r="F23" s="31" t="e">
        <f>Table3[[#This Row],[Quantity Used]]/Table3[[#This Row],[Quantity]]</f>
        <v>#DIV/0!</v>
      </c>
      <c r="G23" s="31">
        <v>0</v>
      </c>
      <c r="H23" s="31">
        <v>0</v>
      </c>
      <c r="I23" s="21" t="e">
        <f>IF(AND(Table3[[#This Row],[Actual Average]]&gt;Table3[[#This Row],[Lw. Exp. Avg]],Table3[[#This Row],[Actual Average]]&lt;Table3[[#This Row],[Hi. Exp. Avg]]),"✓"," ✗")</f>
        <v>#DIV/0!</v>
      </c>
      <c r="J23" s="24"/>
    </row>
    <row r="24" spans="1:10">
      <c r="A24" s="145"/>
      <c r="B24" s="24"/>
      <c r="C24" s="24"/>
      <c r="D24" s="24"/>
      <c r="E24" s="24"/>
      <c r="F24" s="31" t="e">
        <f>Table3[[#This Row],[Quantity Used]]/Table3[[#This Row],[Quantity]]</f>
        <v>#DIV/0!</v>
      </c>
      <c r="G24" s="31">
        <v>0</v>
      </c>
      <c r="H24" s="31">
        <v>0</v>
      </c>
      <c r="I24" s="21" t="e">
        <f>IF(AND(Table3[[#This Row],[Actual Average]]&gt;Table3[[#This Row],[Lw. Exp. Avg]],Table3[[#This Row],[Actual Average]]&lt;Table3[[#This Row],[Hi. Exp. Avg]]),"✓"," ✗")</f>
        <v>#DIV/0!</v>
      </c>
      <c r="J24" s="24"/>
    </row>
    <row r="25" spans="1:10">
      <c r="A25" s="145"/>
      <c r="B25" s="24"/>
      <c r="C25" s="24"/>
      <c r="D25" s="24"/>
      <c r="E25" s="24"/>
      <c r="F25" s="31" t="e">
        <f>Table3[[#This Row],[Quantity Used]]/Table3[[#This Row],[Quantity]]</f>
        <v>#DIV/0!</v>
      </c>
      <c r="G25" s="31">
        <v>0</v>
      </c>
      <c r="H25" s="31">
        <v>0</v>
      </c>
      <c r="I25" s="21" t="e">
        <f>IF(AND(Table3[[#This Row],[Actual Average]]&gt;Table3[[#This Row],[Lw. Exp. Avg]],Table3[[#This Row],[Actual Average]]&lt;Table3[[#This Row],[Hi. Exp. Avg]]),"✓"," ✗")</f>
        <v>#DIV/0!</v>
      </c>
      <c r="J25" s="24"/>
    </row>
    <row r="26" spans="1:10">
      <c r="A26" s="145"/>
      <c r="B26" s="24"/>
      <c r="C26" s="24"/>
      <c r="D26" s="24"/>
      <c r="E26" s="24"/>
      <c r="F26" s="31" t="e">
        <f>Table3[[#This Row],[Quantity Used]]/Table3[[#This Row],[Quantity]]</f>
        <v>#DIV/0!</v>
      </c>
      <c r="G26" s="31">
        <v>0</v>
      </c>
      <c r="H26" s="31">
        <v>0</v>
      </c>
      <c r="I26" s="21" t="e">
        <f>IF(AND(Table3[[#This Row],[Actual Average]]&gt;Table3[[#This Row],[Lw. Exp. Avg]],Table3[[#This Row],[Actual Average]]&lt;Table3[[#This Row],[Hi. Exp. Avg]]),"✓"," ✗")</f>
        <v>#DIV/0!</v>
      </c>
      <c r="J26" s="24"/>
    </row>
    <row r="27" spans="1:10">
      <c r="A27" s="145"/>
      <c r="B27" s="24"/>
      <c r="C27" s="24"/>
      <c r="D27" s="24"/>
      <c r="E27" s="24"/>
      <c r="F27" s="31" t="e">
        <f>Table3[[#This Row],[Quantity Used]]/Table3[[#This Row],[Quantity]]</f>
        <v>#DIV/0!</v>
      </c>
      <c r="G27" s="31">
        <v>0</v>
      </c>
      <c r="H27" s="31">
        <v>0</v>
      </c>
      <c r="I27" s="21" t="e">
        <f>IF(AND(Table3[[#This Row],[Actual Average]]&gt;Table3[[#This Row],[Lw. Exp. Avg]],Table3[[#This Row],[Actual Average]]&lt;Table3[[#This Row],[Hi. Exp. Avg]]),"✓"," ✗")</f>
        <v>#DIV/0!</v>
      </c>
      <c r="J27" s="24"/>
    </row>
    <row r="28" spans="1:10">
      <c r="A28" s="145"/>
      <c r="B28" s="24"/>
      <c r="C28" s="24"/>
      <c r="D28" s="24"/>
      <c r="E28" s="24"/>
      <c r="F28" s="31" t="e">
        <f>Table3[[#This Row],[Quantity Used]]/Table3[[#This Row],[Quantity]]</f>
        <v>#DIV/0!</v>
      </c>
      <c r="G28" s="31">
        <v>0</v>
      </c>
      <c r="H28" s="31">
        <v>0</v>
      </c>
      <c r="I28" s="21" t="e">
        <f>IF(AND(Table3[[#This Row],[Actual Average]]&gt;Table3[[#This Row],[Lw. Exp. Avg]],Table3[[#This Row],[Actual Average]]&lt;Table3[[#This Row],[Hi. Exp. Avg]]),"✓"," ✗")</f>
        <v>#DIV/0!</v>
      </c>
      <c r="J28" s="24"/>
    </row>
    <row r="29" spans="1:10">
      <c r="A29" s="145"/>
      <c r="B29" s="24"/>
      <c r="C29" s="24"/>
      <c r="D29" s="24"/>
      <c r="E29" s="24"/>
      <c r="F29" s="31" t="e">
        <f>Table3[[#This Row],[Quantity Used]]/Table3[[#This Row],[Quantity]]</f>
        <v>#DIV/0!</v>
      </c>
      <c r="G29" s="31">
        <v>0</v>
      </c>
      <c r="H29" s="31">
        <v>0</v>
      </c>
      <c r="I29" s="21" t="e">
        <f>IF(AND(Table3[[#This Row],[Actual Average]]&gt;Table3[[#This Row],[Lw. Exp. Avg]],Table3[[#This Row],[Actual Average]]&lt;Table3[[#This Row],[Hi. Exp. Avg]]),"✓"," ✗")</f>
        <v>#DIV/0!</v>
      </c>
      <c r="J29" s="24"/>
    </row>
    <row r="30" spans="1:10">
      <c r="A30" s="145"/>
      <c r="B30" s="24"/>
      <c r="C30" s="24"/>
      <c r="D30" s="24"/>
      <c r="E30" s="24"/>
      <c r="F30" s="31" t="e">
        <f>Table3[[#This Row],[Quantity Used]]/Table3[[#This Row],[Quantity]]</f>
        <v>#DIV/0!</v>
      </c>
      <c r="G30" s="31">
        <v>0</v>
      </c>
      <c r="H30" s="31">
        <v>0</v>
      </c>
      <c r="I30" s="21" t="e">
        <f>IF(AND(Table3[[#This Row],[Actual Average]]&gt;Table3[[#This Row],[Lw. Exp. Avg]],Table3[[#This Row],[Actual Average]]&lt;Table3[[#This Row],[Hi. Exp. Avg]]),"✓"," ✗")</f>
        <v>#DIV/0!</v>
      </c>
      <c r="J30" s="24"/>
    </row>
    <row r="31" spans="1:10">
      <c r="A31" s="145"/>
      <c r="B31" s="24"/>
      <c r="C31" s="24"/>
      <c r="D31" s="24"/>
      <c r="E31" s="24"/>
      <c r="F31" s="31" t="e">
        <f>Table3[[#This Row],[Quantity Used]]/Table3[[#This Row],[Quantity]]</f>
        <v>#DIV/0!</v>
      </c>
      <c r="G31" s="31">
        <v>0</v>
      </c>
      <c r="H31" s="31">
        <v>0</v>
      </c>
      <c r="I31" s="21" t="e">
        <f>IF(AND(Table3[[#This Row],[Actual Average]]&gt;Table3[[#This Row],[Lw. Exp. Avg]],Table3[[#This Row],[Actual Average]]&lt;Table3[[#This Row],[Hi. Exp. Avg]]),"✓"," ✗")</f>
        <v>#DIV/0!</v>
      </c>
      <c r="J31" s="24"/>
    </row>
    <row r="32" spans="1:10">
      <c r="A32" s="145"/>
      <c r="B32" s="24"/>
      <c r="C32" s="24"/>
      <c r="D32" s="24"/>
      <c r="E32" s="24"/>
      <c r="F32" s="31" t="e">
        <f>Table3[[#This Row],[Quantity Used]]/Table3[[#This Row],[Quantity]]</f>
        <v>#DIV/0!</v>
      </c>
      <c r="G32" s="31">
        <v>0</v>
      </c>
      <c r="H32" s="31">
        <v>0</v>
      </c>
      <c r="I32" s="21" t="e">
        <f>IF(AND(Table3[[#This Row],[Actual Average]]&gt;Table3[[#This Row],[Lw. Exp. Avg]],Table3[[#This Row],[Actual Average]]&lt;Table3[[#This Row],[Hi. Exp. Avg]]),"✓"," ✗")</f>
        <v>#DIV/0!</v>
      </c>
      <c r="J32" s="24"/>
    </row>
    <row r="33" spans="1:10">
      <c r="A33" s="145"/>
      <c r="B33" s="24"/>
      <c r="C33" s="24"/>
      <c r="D33" s="24"/>
      <c r="E33" s="24"/>
      <c r="F33" s="31" t="e">
        <f>Table3[[#This Row],[Quantity Used]]/Table3[[#This Row],[Quantity]]</f>
        <v>#DIV/0!</v>
      </c>
      <c r="G33" s="31">
        <v>0</v>
      </c>
      <c r="H33" s="31">
        <v>0</v>
      </c>
      <c r="I33" s="21" t="e">
        <f>IF(AND(Table3[[#This Row],[Actual Average]]&gt;Table3[[#This Row],[Lw. Exp. Avg]],Table3[[#This Row],[Actual Average]]&lt;Table3[[#This Row],[Hi. Exp. Avg]]),"✓"," ✗")</f>
        <v>#DIV/0!</v>
      </c>
      <c r="J33" s="24"/>
    </row>
    <row r="34" spans="1:10">
      <c r="A34" s="145"/>
      <c r="B34" s="24"/>
      <c r="C34" s="24"/>
      <c r="D34" s="24"/>
      <c r="E34" s="24"/>
      <c r="F34" s="31" t="e">
        <f>Table3[[#This Row],[Quantity Used]]/Table3[[#This Row],[Quantity]]</f>
        <v>#DIV/0!</v>
      </c>
      <c r="G34" s="31">
        <v>0</v>
      </c>
      <c r="H34" s="31">
        <v>0</v>
      </c>
      <c r="I34" s="21" t="e">
        <f>IF(AND(Table3[[#This Row],[Actual Average]]&gt;Table3[[#This Row],[Lw. Exp. Avg]],Table3[[#This Row],[Actual Average]]&lt;Table3[[#This Row],[Hi. Exp. Avg]]),"✓"," ✗")</f>
        <v>#DIV/0!</v>
      </c>
      <c r="J34" s="24"/>
    </row>
    <row r="35" spans="1:10">
      <c r="A35" s="145"/>
      <c r="B35" s="24"/>
      <c r="C35" s="24"/>
      <c r="D35" s="24"/>
      <c r="E35" s="24"/>
      <c r="F35" s="31" t="e">
        <f>Table3[[#This Row],[Quantity Used]]/Table3[[#This Row],[Quantity]]</f>
        <v>#DIV/0!</v>
      </c>
      <c r="G35" s="31">
        <v>0</v>
      </c>
      <c r="H35" s="31">
        <v>0</v>
      </c>
      <c r="I35" s="21" t="e">
        <f>IF(AND(Table3[[#This Row],[Actual Average]]&gt;Table3[[#This Row],[Lw. Exp. Avg]],Table3[[#This Row],[Actual Average]]&lt;Table3[[#This Row],[Hi. Exp. Avg]]),"✓"," ✗")</f>
        <v>#DIV/0!</v>
      </c>
      <c r="J35" s="24"/>
    </row>
    <row r="36" spans="1:10">
      <c r="A36" s="145"/>
      <c r="B36" s="24"/>
      <c r="C36" s="24"/>
      <c r="D36" s="24"/>
      <c r="E36" s="24"/>
      <c r="F36" s="31" t="e">
        <f>Table3[[#This Row],[Quantity Used]]/Table3[[#This Row],[Quantity]]</f>
        <v>#DIV/0!</v>
      </c>
      <c r="G36" s="31">
        <v>0</v>
      </c>
      <c r="H36" s="31">
        <v>0</v>
      </c>
      <c r="I36" s="21" t="e">
        <f>IF(AND(Table3[[#This Row],[Actual Average]]&gt;Table3[[#This Row],[Lw. Exp. Avg]],Table3[[#This Row],[Actual Average]]&lt;Table3[[#This Row],[Hi. Exp. Avg]]),"✓"," ✗")</f>
        <v>#DIV/0!</v>
      </c>
      <c r="J36" s="24"/>
    </row>
    <row r="37" spans="1:10">
      <c r="A37" s="145"/>
      <c r="B37" s="24"/>
      <c r="C37" s="24"/>
      <c r="D37" s="24"/>
      <c r="E37" s="24"/>
      <c r="F37" s="31" t="e">
        <f>Table3[[#This Row],[Quantity Used]]/Table3[[#This Row],[Quantity]]</f>
        <v>#DIV/0!</v>
      </c>
      <c r="G37" s="31">
        <v>0</v>
      </c>
      <c r="H37" s="31">
        <v>0</v>
      </c>
      <c r="I37" s="21" t="e">
        <f>IF(AND(Table3[[#This Row],[Actual Average]]&gt;Table3[[#This Row],[Lw. Exp. Avg]],Table3[[#This Row],[Actual Average]]&lt;Table3[[#This Row],[Hi. Exp. Avg]]),"✓"," ✗")</f>
        <v>#DIV/0!</v>
      </c>
      <c r="J37" s="24"/>
    </row>
    <row r="38" spans="1:10">
      <c r="A38" s="145"/>
      <c r="B38" s="24"/>
      <c r="C38" s="24"/>
      <c r="D38" s="24"/>
      <c r="E38" s="24"/>
      <c r="F38" s="31" t="e">
        <f>Table3[[#This Row],[Quantity Used]]/Table3[[#This Row],[Quantity]]</f>
        <v>#DIV/0!</v>
      </c>
      <c r="G38" s="31">
        <v>0</v>
      </c>
      <c r="H38" s="31">
        <v>0</v>
      </c>
      <c r="I38" s="21" t="e">
        <f>IF(AND(Table3[[#This Row],[Actual Average]]&gt;Table3[[#This Row],[Lw. Exp. Avg]],Table3[[#This Row],[Actual Average]]&lt;Table3[[#This Row],[Hi. Exp. Avg]]),"✓"," ✗")</f>
        <v>#DIV/0!</v>
      </c>
      <c r="J38" s="24"/>
    </row>
    <row r="39" spans="1:10">
      <c r="A39" s="145"/>
      <c r="B39" s="24"/>
      <c r="C39" s="24"/>
      <c r="D39" s="24"/>
      <c r="E39" s="24"/>
      <c r="F39" s="31" t="e">
        <f>Table3[[#This Row],[Quantity Used]]/Table3[[#This Row],[Quantity]]</f>
        <v>#DIV/0!</v>
      </c>
      <c r="G39" s="31">
        <v>0</v>
      </c>
      <c r="H39" s="31">
        <v>0</v>
      </c>
      <c r="I39" s="21" t="e">
        <f>IF(AND(Table3[[#This Row],[Actual Average]]&gt;Table3[[#This Row],[Lw. Exp. Avg]],Table3[[#This Row],[Actual Average]]&lt;Table3[[#This Row],[Hi. Exp. Avg]]),"✓"," ✗")</f>
        <v>#DIV/0!</v>
      </c>
      <c r="J39" s="24"/>
    </row>
    <row r="40" spans="1:10">
      <c r="A40" s="145"/>
      <c r="B40" s="24"/>
      <c r="C40" s="24"/>
      <c r="D40" s="24"/>
      <c r="E40" s="24"/>
      <c r="F40" s="31" t="e">
        <f>Table3[[#This Row],[Quantity Used]]/Table3[[#This Row],[Quantity]]</f>
        <v>#DIV/0!</v>
      </c>
      <c r="G40" s="31">
        <v>0</v>
      </c>
      <c r="H40" s="31">
        <v>0</v>
      </c>
      <c r="I40" s="21" t="e">
        <f>IF(AND(Table3[[#This Row],[Actual Average]]&gt;Table3[[#This Row],[Lw. Exp. Avg]],Table3[[#This Row],[Actual Average]]&lt;Table3[[#This Row],[Hi. Exp. Avg]]),"✓"," ✗")</f>
        <v>#DIV/0!</v>
      </c>
      <c r="J40" s="24"/>
    </row>
    <row r="41" spans="1:10">
      <c r="A41" s="145"/>
      <c r="B41" s="24"/>
      <c r="C41" s="24"/>
      <c r="D41" s="24"/>
      <c r="E41" s="24"/>
      <c r="F41" s="31" t="e">
        <f>Table3[[#This Row],[Quantity Used]]/Table3[[#This Row],[Quantity]]</f>
        <v>#DIV/0!</v>
      </c>
      <c r="G41" s="31">
        <v>0</v>
      </c>
      <c r="H41" s="31">
        <v>0</v>
      </c>
      <c r="I41" s="21" t="e">
        <f>IF(AND(Table3[[#This Row],[Actual Average]]&gt;Table3[[#This Row],[Lw. Exp. Avg]],Table3[[#This Row],[Actual Average]]&lt;Table3[[#This Row],[Hi. Exp. Avg]]),"✓"," ✗")</f>
        <v>#DIV/0!</v>
      </c>
      <c r="J41" s="24"/>
    </row>
    <row r="42" spans="1:10">
      <c r="A42" s="145"/>
      <c r="B42" s="24"/>
      <c r="C42" s="24"/>
      <c r="D42" s="24"/>
      <c r="E42" s="24"/>
      <c r="F42" s="31" t="e">
        <f>Table3[[#This Row],[Quantity Used]]/Table3[[#This Row],[Quantity]]</f>
        <v>#DIV/0!</v>
      </c>
      <c r="G42" s="31">
        <v>0</v>
      </c>
      <c r="H42" s="31">
        <v>0</v>
      </c>
      <c r="I42" s="21" t="e">
        <f>IF(AND(Table3[[#This Row],[Actual Average]]&gt;Table3[[#This Row],[Lw. Exp. Avg]],Table3[[#This Row],[Actual Average]]&lt;Table3[[#This Row],[Hi. Exp. Avg]]),"✓"," ✗")</f>
        <v>#DIV/0!</v>
      </c>
      <c r="J42" s="24"/>
    </row>
    <row r="43" spans="1:10">
      <c r="A43" s="145"/>
      <c r="B43" s="24"/>
      <c r="C43" s="24"/>
      <c r="D43" s="24"/>
      <c r="E43" s="24"/>
      <c r="F43" s="31" t="e">
        <f>Table3[[#This Row],[Quantity Used]]/Table3[[#This Row],[Quantity]]</f>
        <v>#DIV/0!</v>
      </c>
      <c r="G43" s="31">
        <v>0</v>
      </c>
      <c r="H43" s="31">
        <v>0</v>
      </c>
      <c r="I43" s="21" t="e">
        <f>IF(AND(Table3[[#This Row],[Actual Average]]&gt;Table3[[#This Row],[Lw. Exp. Avg]],Table3[[#This Row],[Actual Average]]&lt;Table3[[#This Row],[Hi. Exp. Avg]]),"✓"," ✗")</f>
        <v>#DIV/0!</v>
      </c>
      <c r="J43" s="24"/>
    </row>
    <row r="44" spans="1:10">
      <c r="A44" s="145"/>
      <c r="B44" s="24"/>
      <c r="C44" s="24"/>
      <c r="D44" s="24"/>
      <c r="E44" s="24"/>
      <c r="F44" s="31" t="e">
        <f>Table3[[#This Row],[Quantity Used]]/Table3[[#This Row],[Quantity]]</f>
        <v>#DIV/0!</v>
      </c>
      <c r="G44" s="31">
        <v>0</v>
      </c>
      <c r="H44" s="31">
        <v>0</v>
      </c>
      <c r="I44" s="21" t="e">
        <f>IF(AND(Table3[[#This Row],[Actual Average]]&gt;Table3[[#This Row],[Lw. Exp. Avg]],Table3[[#This Row],[Actual Average]]&lt;Table3[[#This Row],[Hi. Exp. Avg]]),"✓"," ✗")</f>
        <v>#DIV/0!</v>
      </c>
      <c r="J44" s="24"/>
    </row>
    <row r="45" spans="1:10">
      <c r="A45" s="145"/>
      <c r="B45" s="24"/>
      <c r="C45" s="24"/>
      <c r="D45" s="24"/>
      <c r="E45" s="24"/>
      <c r="F45" s="31" t="e">
        <f>Table3[[#This Row],[Quantity Used]]/Table3[[#This Row],[Quantity]]</f>
        <v>#DIV/0!</v>
      </c>
      <c r="G45" s="31">
        <v>0</v>
      </c>
      <c r="H45" s="31">
        <v>0</v>
      </c>
      <c r="I45" s="21" t="e">
        <f>IF(AND(Table3[[#This Row],[Actual Average]]&gt;Table3[[#This Row],[Lw. Exp. Avg]],Table3[[#This Row],[Actual Average]]&lt;Table3[[#This Row],[Hi. Exp. Avg]]),"✓"," ✗")</f>
        <v>#DIV/0!</v>
      </c>
      <c r="J45" s="24"/>
    </row>
    <row r="46" spans="1:10">
      <c r="A46" s="145"/>
      <c r="B46" s="24"/>
      <c r="C46" s="24"/>
      <c r="D46" s="24"/>
      <c r="E46" s="24"/>
      <c r="F46" s="31" t="e">
        <f>Table3[[#This Row],[Quantity Used]]/Table3[[#This Row],[Quantity]]</f>
        <v>#DIV/0!</v>
      </c>
      <c r="G46" s="31">
        <v>0</v>
      </c>
      <c r="H46" s="31">
        <v>0</v>
      </c>
      <c r="I46" s="21" t="e">
        <f>IF(AND(Table3[[#This Row],[Actual Average]]&gt;Table3[[#This Row],[Lw. Exp. Avg]],Table3[[#This Row],[Actual Average]]&lt;Table3[[#This Row],[Hi. Exp. Avg]]),"✓"," ✗")</f>
        <v>#DIV/0!</v>
      </c>
      <c r="J46" s="24"/>
    </row>
    <row r="47" spans="1:10">
      <c r="A47" s="145"/>
      <c r="B47" s="24"/>
      <c r="C47" s="24"/>
      <c r="D47" s="24"/>
      <c r="E47" s="24"/>
      <c r="F47" s="31" t="e">
        <f>Table3[[#This Row],[Quantity Used]]/Table3[[#This Row],[Quantity]]</f>
        <v>#DIV/0!</v>
      </c>
      <c r="G47" s="31">
        <v>0</v>
      </c>
      <c r="H47" s="31">
        <v>0</v>
      </c>
      <c r="I47" s="21" t="e">
        <f>IF(AND(Table3[[#This Row],[Actual Average]]&gt;Table3[[#This Row],[Lw. Exp. Avg]],Table3[[#This Row],[Actual Average]]&lt;Table3[[#This Row],[Hi. Exp. Avg]]),"✓"," ✗")</f>
        <v>#DIV/0!</v>
      </c>
      <c r="J47" s="24"/>
    </row>
    <row r="48" spans="1:10">
      <c r="A48" s="145"/>
      <c r="B48" s="24"/>
      <c r="C48" s="24"/>
      <c r="D48" s="24"/>
      <c r="E48" s="24"/>
      <c r="F48" s="31" t="e">
        <f>Table3[[#This Row],[Quantity Used]]/Table3[[#This Row],[Quantity]]</f>
        <v>#DIV/0!</v>
      </c>
      <c r="G48" s="31">
        <v>0</v>
      </c>
      <c r="H48" s="31">
        <v>0</v>
      </c>
      <c r="I48" s="21" t="e">
        <f>IF(AND(Table3[[#This Row],[Actual Average]]&gt;Table3[[#This Row],[Lw. Exp. Avg]],Table3[[#This Row],[Actual Average]]&lt;Table3[[#This Row],[Hi. Exp. Avg]]),"✓"," ✗")</f>
        <v>#DIV/0!</v>
      </c>
      <c r="J48" s="24"/>
    </row>
    <row r="49" spans="1:10">
      <c r="A49" s="145"/>
      <c r="B49" s="24"/>
      <c r="C49" s="24"/>
      <c r="D49" s="24"/>
      <c r="E49" s="24"/>
      <c r="F49" s="31" t="e">
        <f>Table3[[#This Row],[Quantity Used]]/Table3[[#This Row],[Quantity]]</f>
        <v>#DIV/0!</v>
      </c>
      <c r="G49" s="31">
        <v>0</v>
      </c>
      <c r="H49" s="31">
        <v>0</v>
      </c>
      <c r="I49" s="21" t="e">
        <f>IF(AND(Table3[[#This Row],[Actual Average]]&gt;Table3[[#This Row],[Lw. Exp. Avg]],Table3[[#This Row],[Actual Average]]&lt;Table3[[#This Row],[Hi. Exp. Avg]]),"✓"," ✗")</f>
        <v>#DIV/0!</v>
      </c>
      <c r="J49" s="24"/>
    </row>
    <row r="50" spans="1:10">
      <c r="A50" s="145"/>
      <c r="B50" s="24"/>
      <c r="C50" s="24"/>
      <c r="D50" s="24"/>
      <c r="E50" s="24"/>
      <c r="F50" s="31" t="e">
        <f>Table3[[#This Row],[Quantity Used]]/Table3[[#This Row],[Quantity]]</f>
        <v>#DIV/0!</v>
      </c>
      <c r="G50" s="31">
        <v>0</v>
      </c>
      <c r="H50" s="31">
        <v>0</v>
      </c>
      <c r="I50" s="21" t="e">
        <f>IF(AND(Table3[[#This Row],[Actual Average]]&gt;Table3[[#This Row],[Lw. Exp. Avg]],Table3[[#This Row],[Actual Average]]&lt;Table3[[#This Row],[Hi. Exp. Avg]]),"✓"," ✗")</f>
        <v>#DIV/0!</v>
      </c>
      <c r="J50" s="24"/>
    </row>
    <row r="51" spans="1:10">
      <c r="A51" s="145"/>
      <c r="B51" s="24"/>
      <c r="C51" s="24"/>
      <c r="D51" s="24"/>
      <c r="E51" s="24"/>
      <c r="F51" s="31" t="e">
        <f>Table3[[#This Row],[Quantity Used]]/Table3[[#This Row],[Quantity]]</f>
        <v>#DIV/0!</v>
      </c>
      <c r="G51" s="31">
        <v>0</v>
      </c>
      <c r="H51" s="31">
        <v>0</v>
      </c>
      <c r="I51" s="21" t="e">
        <f>IF(AND(Table3[[#This Row],[Actual Average]]&gt;Table3[[#This Row],[Lw. Exp. Avg]],Table3[[#This Row],[Actual Average]]&lt;Table3[[#This Row],[Hi. Exp. Avg]]),"✓"," ✗")</f>
        <v>#DIV/0!</v>
      </c>
      <c r="J51" s="24"/>
    </row>
    <row r="52" spans="1:10">
      <c r="A52" s="145"/>
      <c r="B52" s="24"/>
      <c r="C52" s="24"/>
      <c r="D52" s="24"/>
      <c r="E52" s="24"/>
      <c r="F52" s="31" t="e">
        <f>Table3[[#This Row],[Quantity Used]]/Table3[[#This Row],[Quantity]]</f>
        <v>#DIV/0!</v>
      </c>
      <c r="G52" s="31">
        <v>0</v>
      </c>
      <c r="H52" s="31">
        <v>0</v>
      </c>
      <c r="I52" s="21" t="e">
        <f>IF(AND(Table3[[#This Row],[Actual Average]]&gt;Table3[[#This Row],[Lw. Exp. Avg]],Table3[[#This Row],[Actual Average]]&lt;Table3[[#This Row],[Hi. Exp. Avg]]),"✓"," ✗")</f>
        <v>#DIV/0!</v>
      </c>
      <c r="J52" s="24"/>
    </row>
    <row r="53" spans="1:10">
      <c r="A53" s="145"/>
      <c r="B53" s="24"/>
      <c r="C53" s="24"/>
      <c r="D53" s="24"/>
      <c r="E53" s="24"/>
      <c r="F53" s="31" t="e">
        <f>Table3[[#This Row],[Quantity Used]]/Table3[[#This Row],[Quantity]]</f>
        <v>#DIV/0!</v>
      </c>
      <c r="G53" s="31">
        <v>0</v>
      </c>
      <c r="H53" s="31">
        <v>0</v>
      </c>
      <c r="I53" s="21" t="e">
        <f>IF(AND(Table3[[#This Row],[Actual Average]]&gt;Table3[[#This Row],[Lw. Exp. Avg]],Table3[[#This Row],[Actual Average]]&lt;Table3[[#This Row],[Hi. Exp. Avg]]),"✓"," ✗")</f>
        <v>#DIV/0!</v>
      </c>
      <c r="J53" s="24"/>
    </row>
    <row r="54" spans="1:10">
      <c r="A54" s="145"/>
      <c r="B54" s="24"/>
      <c r="C54" s="24"/>
      <c r="D54" s="24"/>
      <c r="E54" s="24"/>
      <c r="F54" s="31" t="e">
        <f>Table3[[#This Row],[Quantity Used]]/Table3[[#This Row],[Quantity]]</f>
        <v>#DIV/0!</v>
      </c>
      <c r="G54" s="31">
        <v>0</v>
      </c>
      <c r="H54" s="31">
        <v>0</v>
      </c>
      <c r="I54" s="21" t="e">
        <f>IF(AND(Table3[[#This Row],[Actual Average]]&gt;Table3[[#This Row],[Lw. Exp. Avg]],Table3[[#This Row],[Actual Average]]&lt;Table3[[#This Row],[Hi. Exp. Avg]]),"✓"," ✗")</f>
        <v>#DIV/0!</v>
      </c>
      <c r="J54" s="24"/>
    </row>
    <row r="55" spans="1:10">
      <c r="A55" s="145"/>
      <c r="B55" s="24"/>
      <c r="C55" s="24"/>
      <c r="D55" s="24"/>
      <c r="E55" s="24"/>
      <c r="F55" s="31" t="e">
        <f>Table3[[#This Row],[Quantity Used]]/Table3[[#This Row],[Quantity]]</f>
        <v>#DIV/0!</v>
      </c>
      <c r="G55" s="31">
        <v>0</v>
      </c>
      <c r="H55" s="31">
        <v>0</v>
      </c>
      <c r="I55" s="21" t="e">
        <f>IF(AND(Table3[[#This Row],[Actual Average]]&gt;Table3[[#This Row],[Lw. Exp. Avg]],Table3[[#This Row],[Actual Average]]&lt;Table3[[#This Row],[Hi. Exp. Avg]]),"✓"," ✗")</f>
        <v>#DIV/0!</v>
      </c>
      <c r="J55" s="24"/>
    </row>
    <row r="56" spans="1:10">
      <c r="A56" s="145"/>
      <c r="B56" s="24"/>
      <c r="C56" s="24"/>
      <c r="D56" s="24"/>
      <c r="E56" s="24"/>
      <c r="F56" s="31" t="e">
        <f>Table3[[#This Row],[Quantity Used]]/Table3[[#This Row],[Quantity]]</f>
        <v>#DIV/0!</v>
      </c>
      <c r="G56" s="31">
        <v>0</v>
      </c>
      <c r="H56" s="31">
        <v>0</v>
      </c>
      <c r="I56" s="21" t="e">
        <f>IF(AND(Table3[[#This Row],[Actual Average]]&gt;Table3[[#This Row],[Lw. Exp. Avg]],Table3[[#This Row],[Actual Average]]&lt;Table3[[#This Row],[Hi. Exp. Avg]]),"✓"," ✗")</f>
        <v>#DIV/0!</v>
      </c>
      <c r="J56" s="24"/>
    </row>
    <row r="57" spans="1:10">
      <c r="A57" s="145"/>
      <c r="B57" s="24"/>
      <c r="C57" s="24"/>
      <c r="D57" s="24"/>
      <c r="E57" s="24"/>
      <c r="F57" s="31" t="e">
        <f>Table3[[#This Row],[Quantity Used]]/Table3[[#This Row],[Quantity]]</f>
        <v>#DIV/0!</v>
      </c>
      <c r="G57" s="31">
        <v>0</v>
      </c>
      <c r="H57" s="31">
        <v>0</v>
      </c>
      <c r="I57" s="21" t="e">
        <f>IF(AND(Table3[[#This Row],[Actual Average]]&gt;Table3[[#This Row],[Lw. Exp. Avg]],Table3[[#This Row],[Actual Average]]&lt;Table3[[#This Row],[Hi. Exp. Avg]]),"✓"," ✗")</f>
        <v>#DIV/0!</v>
      </c>
      <c r="J57" s="24"/>
    </row>
    <row r="58" spans="1:10">
      <c r="A58" s="145"/>
      <c r="B58" s="24"/>
      <c r="C58" s="24"/>
      <c r="D58" s="24"/>
      <c r="E58" s="24"/>
      <c r="F58" s="31" t="e">
        <f>Table3[[#This Row],[Quantity Used]]/Table3[[#This Row],[Quantity]]</f>
        <v>#DIV/0!</v>
      </c>
      <c r="G58" s="31">
        <v>0</v>
      </c>
      <c r="H58" s="31">
        <v>0</v>
      </c>
      <c r="I58" s="21" t="e">
        <f>IF(AND(Table3[[#This Row],[Actual Average]]&gt;Table3[[#This Row],[Lw. Exp. Avg]],Table3[[#This Row],[Actual Average]]&lt;Table3[[#This Row],[Hi. Exp. Avg]]),"✓"," ✗")</f>
        <v>#DIV/0!</v>
      </c>
      <c r="J58" s="24"/>
    </row>
    <row r="59" spans="1:10">
      <c r="A59" s="145"/>
      <c r="B59" s="24"/>
      <c r="C59" s="24"/>
      <c r="D59" s="24"/>
      <c r="E59" s="24"/>
      <c r="F59" s="31" t="e">
        <f>Table3[[#This Row],[Quantity Used]]/Table3[[#This Row],[Quantity]]</f>
        <v>#DIV/0!</v>
      </c>
      <c r="G59" s="31">
        <v>0</v>
      </c>
      <c r="H59" s="31">
        <v>0</v>
      </c>
      <c r="I59" s="21" t="e">
        <f>IF(AND(Table3[[#This Row],[Actual Average]]&gt;Table3[[#This Row],[Lw. Exp. Avg]],Table3[[#This Row],[Actual Average]]&lt;Table3[[#This Row],[Hi. Exp. Avg]]),"✓"," ✗")</f>
        <v>#DIV/0!</v>
      </c>
      <c r="J59" s="24"/>
    </row>
    <row r="60" spans="1:10">
      <c r="A60" s="145"/>
      <c r="B60" s="24"/>
      <c r="C60" s="24"/>
      <c r="D60" s="24"/>
      <c r="E60" s="24"/>
      <c r="F60" s="31" t="e">
        <f>Table3[[#This Row],[Quantity Used]]/Table3[[#This Row],[Quantity]]</f>
        <v>#DIV/0!</v>
      </c>
      <c r="G60" s="31">
        <v>0</v>
      </c>
      <c r="H60" s="31">
        <v>0</v>
      </c>
      <c r="I60" s="21" t="e">
        <f>IF(AND(Table3[[#This Row],[Actual Average]]&gt;Table3[[#This Row],[Lw. Exp. Avg]],Table3[[#This Row],[Actual Average]]&lt;Table3[[#This Row],[Hi. Exp. Avg]]),"✓"," ✗")</f>
        <v>#DIV/0!</v>
      </c>
      <c r="J60" s="24"/>
    </row>
    <row r="61" spans="1:10">
      <c r="A61" s="145"/>
      <c r="B61" s="24"/>
      <c r="C61" s="24"/>
      <c r="D61" s="24"/>
      <c r="E61" s="24"/>
      <c r="F61" s="31" t="e">
        <f>Table3[[#This Row],[Quantity Used]]/Table3[[#This Row],[Quantity]]</f>
        <v>#DIV/0!</v>
      </c>
      <c r="G61" s="31">
        <v>0</v>
      </c>
      <c r="H61" s="31">
        <v>0</v>
      </c>
      <c r="I61" s="21" t="e">
        <f>IF(AND(Table3[[#This Row],[Actual Average]]&gt;Table3[[#This Row],[Lw. Exp. Avg]],Table3[[#This Row],[Actual Average]]&lt;Table3[[#This Row],[Hi. Exp. Avg]]),"✓"," ✗")</f>
        <v>#DIV/0!</v>
      </c>
      <c r="J61" s="24"/>
    </row>
    <row r="62" spans="1:10">
      <c r="A62" s="145"/>
      <c r="B62" s="24"/>
      <c r="C62" s="24"/>
      <c r="D62" s="24"/>
      <c r="E62" s="24"/>
      <c r="F62" s="31" t="e">
        <f>Table3[[#This Row],[Quantity Used]]/Table3[[#This Row],[Quantity]]</f>
        <v>#DIV/0!</v>
      </c>
      <c r="G62" s="31">
        <v>0</v>
      </c>
      <c r="H62" s="31">
        <v>0</v>
      </c>
      <c r="I62" s="21" t="e">
        <f>IF(AND(Table3[[#This Row],[Actual Average]]&gt;Table3[[#This Row],[Lw. Exp. Avg]],Table3[[#This Row],[Actual Average]]&lt;Table3[[#This Row],[Hi. Exp. Avg]]),"✓"," ✗")</f>
        <v>#DIV/0!</v>
      </c>
      <c r="J62" s="24"/>
    </row>
    <row r="63" spans="1:10">
      <c r="A63" s="145"/>
      <c r="B63" s="24"/>
      <c r="C63" s="24"/>
      <c r="D63" s="24"/>
      <c r="E63" s="24"/>
      <c r="F63" s="31" t="e">
        <f>Table3[[#This Row],[Quantity Used]]/Table3[[#This Row],[Quantity]]</f>
        <v>#DIV/0!</v>
      </c>
      <c r="G63" s="31">
        <v>0</v>
      </c>
      <c r="H63" s="31">
        <v>0</v>
      </c>
      <c r="I63" s="21" t="e">
        <f>IF(AND(Table3[[#This Row],[Actual Average]]&gt;Table3[[#This Row],[Lw. Exp. Avg]],Table3[[#This Row],[Actual Average]]&lt;Table3[[#This Row],[Hi. Exp. Avg]]),"✓"," ✗")</f>
        <v>#DIV/0!</v>
      </c>
      <c r="J63" s="24"/>
    </row>
    <row r="64" spans="1:10">
      <c r="A64" s="145"/>
      <c r="B64" s="24"/>
      <c r="C64" s="24"/>
      <c r="D64" s="24"/>
      <c r="E64" s="24"/>
      <c r="F64" s="31" t="e">
        <f>Table3[[#This Row],[Quantity Used]]/Table3[[#This Row],[Quantity]]</f>
        <v>#DIV/0!</v>
      </c>
      <c r="G64" s="31">
        <v>0</v>
      </c>
      <c r="H64" s="31">
        <v>0</v>
      </c>
      <c r="I64" s="21" t="e">
        <f>IF(AND(Table3[[#This Row],[Actual Average]]&gt;Table3[[#This Row],[Lw. Exp. Avg]],Table3[[#This Row],[Actual Average]]&lt;Table3[[#This Row],[Hi. Exp. Avg]]),"✓"," ✗")</f>
        <v>#DIV/0!</v>
      </c>
      <c r="J64" s="24"/>
    </row>
    <row r="65" spans="1:10">
      <c r="A65" s="145"/>
      <c r="B65" s="24"/>
      <c r="C65" s="24"/>
      <c r="D65" s="24"/>
      <c r="E65" s="24"/>
      <c r="F65" s="31" t="e">
        <f>Table3[[#This Row],[Quantity Used]]/Table3[[#This Row],[Quantity]]</f>
        <v>#DIV/0!</v>
      </c>
      <c r="G65" s="31">
        <v>0</v>
      </c>
      <c r="H65" s="31">
        <v>0</v>
      </c>
      <c r="I65" s="21" t="e">
        <f>IF(AND(Table3[[#This Row],[Actual Average]]&gt;Table3[[#This Row],[Lw. Exp. Avg]],Table3[[#This Row],[Actual Average]]&lt;Table3[[#This Row],[Hi. Exp. Avg]]),"✓"," ✗")</f>
        <v>#DIV/0!</v>
      </c>
      <c r="J65" s="24"/>
    </row>
    <row r="66" spans="1:10">
      <c r="A66" s="145"/>
      <c r="B66" s="24"/>
      <c r="C66" s="24"/>
      <c r="D66" s="24"/>
      <c r="E66" s="24"/>
      <c r="F66" s="31" t="e">
        <f>Table3[[#This Row],[Quantity Used]]/Table3[[#This Row],[Quantity]]</f>
        <v>#DIV/0!</v>
      </c>
      <c r="G66" s="31">
        <v>0</v>
      </c>
      <c r="H66" s="31">
        <v>0</v>
      </c>
      <c r="I66" s="21" t="e">
        <f>IF(AND(Table3[[#This Row],[Actual Average]]&gt;Table3[[#This Row],[Lw. Exp. Avg]],Table3[[#This Row],[Actual Average]]&lt;Table3[[#This Row],[Hi. Exp. Avg]]),"✓"," ✗")</f>
        <v>#DIV/0!</v>
      </c>
      <c r="J66" s="24"/>
    </row>
    <row r="67" spans="1:10">
      <c r="A67" s="145"/>
      <c r="B67" s="24"/>
      <c r="C67" s="24"/>
      <c r="D67" s="24"/>
      <c r="E67" s="24"/>
      <c r="F67" s="31" t="e">
        <f>Table3[[#This Row],[Quantity Used]]/Table3[[#This Row],[Quantity]]</f>
        <v>#DIV/0!</v>
      </c>
      <c r="G67" s="31">
        <v>0</v>
      </c>
      <c r="H67" s="31">
        <v>0</v>
      </c>
      <c r="I67" s="21" t="e">
        <f>IF(AND(Table3[[#This Row],[Actual Average]]&gt;Table3[[#This Row],[Lw. Exp. Avg]],Table3[[#This Row],[Actual Average]]&lt;Table3[[#This Row],[Hi. Exp. Avg]]),"✓"," ✗")</f>
        <v>#DIV/0!</v>
      </c>
      <c r="J67" s="24"/>
    </row>
    <row r="68" spans="1:10">
      <c r="A68" s="145"/>
      <c r="B68" s="24"/>
      <c r="C68" s="24"/>
      <c r="D68" s="24"/>
      <c r="E68" s="24"/>
      <c r="F68" s="31" t="e">
        <f>Table3[[#This Row],[Quantity Used]]/Table3[[#This Row],[Quantity]]</f>
        <v>#DIV/0!</v>
      </c>
      <c r="G68" s="31">
        <v>0</v>
      </c>
      <c r="H68" s="31">
        <v>0</v>
      </c>
      <c r="I68" s="21" t="e">
        <f>IF(AND(Table3[[#This Row],[Actual Average]]&gt;Table3[[#This Row],[Lw. Exp. Avg]],Table3[[#This Row],[Actual Average]]&lt;Table3[[#This Row],[Hi. Exp. Avg]]),"✓"," ✗")</f>
        <v>#DIV/0!</v>
      </c>
      <c r="J68" s="24"/>
    </row>
    <row r="69" spans="1:10">
      <c r="A69" s="145"/>
      <c r="B69" s="24"/>
      <c r="C69" s="24"/>
      <c r="D69" s="24"/>
      <c r="E69" s="24"/>
      <c r="F69" s="31" t="e">
        <f>Table3[[#This Row],[Quantity Used]]/Table3[[#This Row],[Quantity]]</f>
        <v>#DIV/0!</v>
      </c>
      <c r="G69" s="31">
        <v>0</v>
      </c>
      <c r="H69" s="31">
        <v>0</v>
      </c>
      <c r="I69" s="21" t="e">
        <f>IF(AND(Table3[[#This Row],[Actual Average]]&gt;Table3[[#This Row],[Lw. Exp. Avg]],Table3[[#This Row],[Actual Average]]&lt;Table3[[#This Row],[Hi. Exp. Avg]]),"✓"," ✗")</f>
        <v>#DIV/0!</v>
      </c>
      <c r="J69" s="24"/>
    </row>
    <row r="70" spans="1:10">
      <c r="A70" s="145"/>
      <c r="B70" s="24"/>
      <c r="C70" s="24"/>
      <c r="D70" s="24"/>
      <c r="E70" s="24"/>
      <c r="F70" s="31" t="e">
        <f>Table3[[#This Row],[Quantity Used]]/Table3[[#This Row],[Quantity]]</f>
        <v>#DIV/0!</v>
      </c>
      <c r="G70" s="31">
        <v>0</v>
      </c>
      <c r="H70" s="31">
        <v>0</v>
      </c>
      <c r="I70" s="21" t="e">
        <f>IF(AND(Table3[[#This Row],[Actual Average]]&gt;Table3[[#This Row],[Lw. Exp. Avg]],Table3[[#This Row],[Actual Average]]&lt;Table3[[#This Row],[Hi. Exp. Avg]]),"✓"," ✗")</f>
        <v>#DIV/0!</v>
      </c>
      <c r="J70" s="24"/>
    </row>
    <row r="71" spans="1:10">
      <c r="A71" s="145"/>
      <c r="B71" s="24"/>
      <c r="C71" s="24"/>
      <c r="D71" s="24"/>
      <c r="E71" s="24"/>
      <c r="F71" s="31" t="e">
        <f>Table3[[#This Row],[Quantity Used]]/Table3[[#This Row],[Quantity]]</f>
        <v>#DIV/0!</v>
      </c>
      <c r="G71" s="31">
        <v>0</v>
      </c>
      <c r="H71" s="31">
        <v>0</v>
      </c>
      <c r="I71" s="21" t="e">
        <f>IF(AND(Table3[[#This Row],[Actual Average]]&gt;Table3[[#This Row],[Lw. Exp. Avg]],Table3[[#This Row],[Actual Average]]&lt;Table3[[#This Row],[Hi. Exp. Avg]]),"✓"," ✗")</f>
        <v>#DIV/0!</v>
      </c>
      <c r="J71" s="24"/>
    </row>
    <row r="72" spans="1:10">
      <c r="A72" s="145"/>
      <c r="B72" s="24"/>
      <c r="C72" s="24"/>
      <c r="D72" s="24"/>
      <c r="E72" s="24"/>
      <c r="F72" s="31" t="e">
        <f>Table3[[#This Row],[Quantity Used]]/Table3[[#This Row],[Quantity]]</f>
        <v>#DIV/0!</v>
      </c>
      <c r="G72" s="31">
        <v>0</v>
      </c>
      <c r="H72" s="31">
        <v>0</v>
      </c>
      <c r="I72" s="21" t="e">
        <f>IF(AND(Table3[[#This Row],[Actual Average]]&gt;Table3[[#This Row],[Lw. Exp. Avg]],Table3[[#This Row],[Actual Average]]&lt;Table3[[#This Row],[Hi. Exp. Avg]]),"✓"," ✗")</f>
        <v>#DIV/0!</v>
      </c>
      <c r="J72" s="24"/>
    </row>
    <row r="73" spans="1:10">
      <c r="A73" s="145"/>
      <c r="B73" s="24"/>
      <c r="C73" s="24"/>
      <c r="D73" s="24"/>
      <c r="E73" s="24"/>
      <c r="F73" s="31" t="e">
        <f>Table3[[#This Row],[Quantity Used]]/Table3[[#This Row],[Quantity]]</f>
        <v>#DIV/0!</v>
      </c>
      <c r="G73" s="31">
        <v>0</v>
      </c>
      <c r="H73" s="31">
        <v>0</v>
      </c>
      <c r="I73" s="21" t="e">
        <f>IF(AND(Table3[[#This Row],[Actual Average]]&gt;Table3[[#This Row],[Lw. Exp. Avg]],Table3[[#This Row],[Actual Average]]&lt;Table3[[#This Row],[Hi. Exp. Avg]]),"✓"," ✗")</f>
        <v>#DIV/0!</v>
      </c>
      <c r="J73" s="24"/>
    </row>
    <row r="74" spans="1:10">
      <c r="A74" s="145"/>
      <c r="B74" s="24"/>
      <c r="C74" s="24"/>
      <c r="D74" s="24"/>
      <c r="E74" s="24"/>
      <c r="F74" s="31" t="e">
        <f>Table3[[#This Row],[Quantity Used]]/Table3[[#This Row],[Quantity]]</f>
        <v>#DIV/0!</v>
      </c>
      <c r="G74" s="31">
        <v>0</v>
      </c>
      <c r="H74" s="31">
        <v>0</v>
      </c>
      <c r="I74" s="21" t="e">
        <f>IF(AND(Table3[[#This Row],[Actual Average]]&gt;Table3[[#This Row],[Lw. Exp. Avg]],Table3[[#This Row],[Actual Average]]&lt;Table3[[#This Row],[Hi. Exp. Avg]]),"✓"," ✗")</f>
        <v>#DIV/0!</v>
      </c>
      <c r="J74" s="24"/>
    </row>
    <row r="75" spans="1:10">
      <c r="A75" s="145"/>
      <c r="B75" s="24"/>
      <c r="C75" s="24"/>
      <c r="D75" s="24"/>
      <c r="E75" s="24"/>
      <c r="F75" s="31" t="e">
        <f>Table3[[#This Row],[Quantity Used]]/Table3[[#This Row],[Quantity]]</f>
        <v>#DIV/0!</v>
      </c>
      <c r="G75" s="31">
        <v>0</v>
      </c>
      <c r="H75" s="31">
        <v>0</v>
      </c>
      <c r="I75" s="21" t="e">
        <f>IF(AND(Table3[[#This Row],[Actual Average]]&gt;Table3[[#This Row],[Lw. Exp. Avg]],Table3[[#This Row],[Actual Average]]&lt;Table3[[#This Row],[Hi. Exp. Avg]]),"✓"," ✗")</f>
        <v>#DIV/0!</v>
      </c>
      <c r="J75" s="24"/>
    </row>
    <row r="76" spans="1:10">
      <c r="A76" s="145"/>
      <c r="B76" s="24"/>
      <c r="C76" s="24"/>
      <c r="D76" s="24"/>
      <c r="E76" s="24"/>
      <c r="F76" s="31" t="e">
        <f>Table3[[#This Row],[Quantity Used]]/Table3[[#This Row],[Quantity]]</f>
        <v>#DIV/0!</v>
      </c>
      <c r="G76" s="31">
        <v>0</v>
      </c>
      <c r="H76" s="31">
        <v>0</v>
      </c>
      <c r="I76" s="21" t="e">
        <f>IF(AND(Table3[[#This Row],[Actual Average]]&gt;Table3[[#This Row],[Lw. Exp. Avg]],Table3[[#This Row],[Actual Average]]&lt;Table3[[#This Row],[Hi. Exp. Avg]]),"✓"," ✗")</f>
        <v>#DIV/0!</v>
      </c>
      <c r="J76" s="24"/>
    </row>
    <row r="77" spans="1:10">
      <c r="A77" s="145"/>
      <c r="B77" s="24"/>
      <c r="C77" s="24"/>
      <c r="D77" s="24"/>
      <c r="E77" s="24"/>
      <c r="F77" s="31" t="e">
        <f>Table3[[#This Row],[Quantity Used]]/Table3[[#This Row],[Quantity]]</f>
        <v>#DIV/0!</v>
      </c>
      <c r="G77" s="31">
        <v>0</v>
      </c>
      <c r="H77" s="31">
        <v>0</v>
      </c>
      <c r="I77" s="21" t="e">
        <f>IF(AND(Table3[[#This Row],[Actual Average]]&gt;Table3[[#This Row],[Lw. Exp. Avg]],Table3[[#This Row],[Actual Average]]&lt;Table3[[#This Row],[Hi. Exp. Avg]]),"✓"," ✗")</f>
        <v>#DIV/0!</v>
      </c>
      <c r="J77" s="24"/>
    </row>
    <row r="78" spans="1:10">
      <c r="A78" s="145"/>
      <c r="B78" s="24"/>
      <c r="C78" s="24"/>
      <c r="D78" s="24"/>
      <c r="E78" s="24"/>
      <c r="F78" s="31" t="e">
        <f>Table3[[#This Row],[Quantity Used]]/Table3[[#This Row],[Quantity]]</f>
        <v>#DIV/0!</v>
      </c>
      <c r="G78" s="31">
        <v>0</v>
      </c>
      <c r="H78" s="31">
        <v>0</v>
      </c>
      <c r="I78" s="21" t="e">
        <f>IF(AND(Table3[[#This Row],[Actual Average]]&gt;Table3[[#This Row],[Lw. Exp. Avg]],Table3[[#This Row],[Actual Average]]&lt;Table3[[#This Row],[Hi. Exp. Avg]]),"✓"," ✗")</f>
        <v>#DIV/0!</v>
      </c>
      <c r="J78" s="24"/>
    </row>
    <row r="79" spans="1:10">
      <c r="A79" s="145"/>
      <c r="B79" s="24"/>
      <c r="C79" s="24"/>
      <c r="D79" s="24"/>
      <c r="E79" s="24"/>
      <c r="F79" s="31" t="e">
        <f>Table3[[#This Row],[Quantity Used]]/Table3[[#This Row],[Quantity]]</f>
        <v>#DIV/0!</v>
      </c>
      <c r="G79" s="31">
        <v>0</v>
      </c>
      <c r="H79" s="31">
        <v>0</v>
      </c>
      <c r="I79" s="21" t="e">
        <f>IF(AND(Table3[[#This Row],[Actual Average]]&gt;Table3[[#This Row],[Lw. Exp. Avg]],Table3[[#This Row],[Actual Average]]&lt;Table3[[#This Row],[Hi. Exp. Avg]]),"✓"," ✗")</f>
        <v>#DIV/0!</v>
      </c>
      <c r="J79" s="24"/>
    </row>
    <row r="80" spans="1:10">
      <c r="A80" s="145"/>
      <c r="B80" s="24"/>
      <c r="C80" s="24"/>
      <c r="D80" s="24"/>
      <c r="E80" s="24"/>
      <c r="F80" s="31" t="e">
        <f>Table3[[#This Row],[Quantity Used]]/Table3[[#This Row],[Quantity]]</f>
        <v>#DIV/0!</v>
      </c>
      <c r="G80" s="31">
        <v>0</v>
      </c>
      <c r="H80" s="31">
        <v>0</v>
      </c>
      <c r="I80" s="21" t="e">
        <f>IF(AND(Table3[[#This Row],[Actual Average]]&gt;Table3[[#This Row],[Lw. Exp. Avg]],Table3[[#This Row],[Actual Average]]&lt;Table3[[#This Row],[Hi. Exp. Avg]]),"✓"," ✗")</f>
        <v>#DIV/0!</v>
      </c>
      <c r="J80" s="24"/>
    </row>
    <row r="81" spans="1:10">
      <c r="A81" s="145"/>
      <c r="B81" s="24"/>
      <c r="C81" s="24"/>
      <c r="D81" s="24"/>
      <c r="E81" s="24"/>
      <c r="F81" s="31" t="e">
        <f>Table3[[#This Row],[Quantity Used]]/Table3[[#This Row],[Quantity]]</f>
        <v>#DIV/0!</v>
      </c>
      <c r="G81" s="31">
        <v>0</v>
      </c>
      <c r="H81" s="31">
        <v>0</v>
      </c>
      <c r="I81" s="21" t="e">
        <f>IF(AND(Table3[[#This Row],[Actual Average]]&gt;Table3[[#This Row],[Lw. Exp. Avg]],Table3[[#This Row],[Actual Average]]&lt;Table3[[#This Row],[Hi. Exp. Avg]]),"✓"," ✗")</f>
        <v>#DIV/0!</v>
      </c>
      <c r="J81" s="24"/>
    </row>
    <row r="82" spans="1:10">
      <c r="A82" s="145"/>
      <c r="B82" s="24"/>
      <c r="C82" s="24"/>
      <c r="D82" s="24"/>
      <c r="E82" s="24"/>
      <c r="F82" s="31" t="e">
        <f>Table3[[#This Row],[Quantity Used]]/Table3[[#This Row],[Quantity]]</f>
        <v>#DIV/0!</v>
      </c>
      <c r="G82" s="31">
        <v>0</v>
      </c>
      <c r="H82" s="31">
        <v>0</v>
      </c>
      <c r="I82" s="21" t="e">
        <f>IF(AND(Table3[[#This Row],[Actual Average]]&gt;Table3[[#This Row],[Lw. Exp. Avg]],Table3[[#This Row],[Actual Average]]&lt;Table3[[#This Row],[Hi. Exp. Avg]]),"✓"," ✗")</f>
        <v>#DIV/0!</v>
      </c>
      <c r="J82" s="24"/>
    </row>
    <row r="83" spans="1:10">
      <c r="A83" s="145"/>
      <c r="B83" s="24"/>
      <c r="C83" s="24"/>
      <c r="D83" s="24"/>
      <c r="E83" s="24"/>
      <c r="F83" s="31" t="e">
        <f>Table3[[#This Row],[Quantity Used]]/Table3[[#This Row],[Quantity]]</f>
        <v>#DIV/0!</v>
      </c>
      <c r="G83" s="31">
        <v>0</v>
      </c>
      <c r="H83" s="31">
        <v>0</v>
      </c>
      <c r="I83" s="21" t="e">
        <f>IF(AND(Table3[[#This Row],[Actual Average]]&gt;Table3[[#This Row],[Lw. Exp. Avg]],Table3[[#This Row],[Actual Average]]&lt;Table3[[#This Row],[Hi. Exp. Avg]]),"✓"," ✗")</f>
        <v>#DIV/0!</v>
      </c>
      <c r="J83" s="24"/>
    </row>
    <row r="84" spans="1:10">
      <c r="A84" s="145"/>
      <c r="B84" s="24"/>
      <c r="C84" s="24"/>
      <c r="D84" s="24"/>
      <c r="E84" s="24"/>
      <c r="F84" s="31" t="e">
        <f>Table3[[#This Row],[Quantity Used]]/Table3[[#This Row],[Quantity]]</f>
        <v>#DIV/0!</v>
      </c>
      <c r="G84" s="31">
        <v>0</v>
      </c>
      <c r="H84" s="31">
        <v>0</v>
      </c>
      <c r="I84" s="21" t="e">
        <f>IF(AND(Table3[[#This Row],[Actual Average]]&gt;Table3[[#This Row],[Lw. Exp. Avg]],Table3[[#This Row],[Actual Average]]&lt;Table3[[#This Row],[Hi. Exp. Avg]]),"✓"," ✗")</f>
        <v>#DIV/0!</v>
      </c>
      <c r="J84" s="24"/>
    </row>
    <row r="85" spans="1:10">
      <c r="A85" s="145"/>
      <c r="B85" s="24"/>
      <c r="C85" s="24"/>
      <c r="D85" s="24"/>
      <c r="E85" s="24"/>
      <c r="F85" s="31" t="e">
        <f>Table3[[#This Row],[Quantity Used]]/Table3[[#This Row],[Quantity]]</f>
        <v>#DIV/0!</v>
      </c>
      <c r="G85" s="31">
        <v>0</v>
      </c>
      <c r="H85" s="31">
        <v>0</v>
      </c>
      <c r="I85" s="21" t="e">
        <f>IF(AND(Table3[[#This Row],[Actual Average]]&gt;Table3[[#This Row],[Lw. Exp. Avg]],Table3[[#This Row],[Actual Average]]&lt;Table3[[#This Row],[Hi. Exp. Avg]]),"✓"," ✗")</f>
        <v>#DIV/0!</v>
      </c>
      <c r="J85" s="24"/>
    </row>
    <row r="86" spans="1:10">
      <c r="A86" s="145"/>
      <c r="B86" s="24"/>
      <c r="C86" s="24"/>
      <c r="D86" s="24"/>
      <c r="E86" s="24"/>
      <c r="F86" s="31" t="e">
        <f>Table3[[#This Row],[Quantity Used]]/Table3[[#This Row],[Quantity]]</f>
        <v>#DIV/0!</v>
      </c>
      <c r="G86" s="31">
        <v>0</v>
      </c>
      <c r="H86" s="31">
        <v>0</v>
      </c>
      <c r="I86" s="21" t="e">
        <f>IF(AND(Table3[[#This Row],[Actual Average]]&gt;Table3[[#This Row],[Lw. Exp. Avg]],Table3[[#This Row],[Actual Average]]&lt;Table3[[#This Row],[Hi. Exp. Avg]]),"✓"," ✗")</f>
        <v>#DIV/0!</v>
      </c>
      <c r="J86" s="24"/>
    </row>
    <row r="87" spans="1:10">
      <c r="A87" s="145"/>
      <c r="B87" s="24"/>
      <c r="C87" s="24"/>
      <c r="D87" s="24"/>
      <c r="E87" s="24"/>
      <c r="F87" s="31" t="e">
        <f>Table3[[#This Row],[Quantity Used]]/Table3[[#This Row],[Quantity]]</f>
        <v>#DIV/0!</v>
      </c>
      <c r="G87" s="31">
        <v>0</v>
      </c>
      <c r="H87" s="31">
        <v>0</v>
      </c>
      <c r="I87" s="21" t="e">
        <f>IF(AND(Table3[[#This Row],[Actual Average]]&gt;Table3[[#This Row],[Lw. Exp. Avg]],Table3[[#This Row],[Actual Average]]&lt;Table3[[#This Row],[Hi. Exp. Avg]]),"✓"," ✗")</f>
        <v>#DIV/0!</v>
      </c>
      <c r="J87" s="24"/>
    </row>
    <row r="88" spans="1:10">
      <c r="A88" s="145"/>
      <c r="B88" s="24"/>
      <c r="C88" s="24"/>
      <c r="D88" s="24"/>
      <c r="E88" s="24"/>
      <c r="F88" s="31" t="e">
        <f>Table3[[#This Row],[Quantity Used]]/Table3[[#This Row],[Quantity]]</f>
        <v>#DIV/0!</v>
      </c>
      <c r="G88" s="31">
        <v>0</v>
      </c>
      <c r="H88" s="31">
        <v>0</v>
      </c>
      <c r="I88" s="21" t="e">
        <f>IF(AND(Table3[[#This Row],[Actual Average]]&gt;Table3[[#This Row],[Lw. Exp. Avg]],Table3[[#This Row],[Actual Average]]&lt;Table3[[#This Row],[Hi. Exp. Avg]]),"✓"," ✗")</f>
        <v>#DIV/0!</v>
      </c>
      <c r="J88" s="24"/>
    </row>
    <row r="89" spans="1:10">
      <c r="A89" s="145"/>
      <c r="B89" s="24"/>
      <c r="C89" s="24"/>
      <c r="D89" s="24"/>
      <c r="E89" s="24"/>
      <c r="F89" s="31" t="e">
        <f>Table3[[#This Row],[Quantity Used]]/Table3[[#This Row],[Quantity]]</f>
        <v>#DIV/0!</v>
      </c>
      <c r="G89" s="31">
        <v>0</v>
      </c>
      <c r="H89" s="31">
        <v>0</v>
      </c>
      <c r="I89" s="21" t="e">
        <f>IF(AND(Table3[[#This Row],[Actual Average]]&gt;Table3[[#This Row],[Lw. Exp. Avg]],Table3[[#This Row],[Actual Average]]&lt;Table3[[#This Row],[Hi. Exp. Avg]]),"✓"," ✗")</f>
        <v>#DIV/0!</v>
      </c>
      <c r="J89" s="24"/>
    </row>
    <row r="90" spans="1:10">
      <c r="A90" s="145"/>
      <c r="B90" s="24"/>
      <c r="C90" s="24"/>
      <c r="D90" s="24"/>
      <c r="E90" s="24"/>
      <c r="F90" s="31" t="e">
        <f>Table3[[#This Row],[Quantity Used]]/Table3[[#This Row],[Quantity]]</f>
        <v>#DIV/0!</v>
      </c>
      <c r="G90" s="31">
        <v>0</v>
      </c>
      <c r="H90" s="31">
        <v>0</v>
      </c>
      <c r="I90" s="21" t="e">
        <f>IF(AND(Table3[[#This Row],[Actual Average]]&gt;Table3[[#This Row],[Lw. Exp. Avg]],Table3[[#This Row],[Actual Average]]&lt;Table3[[#This Row],[Hi. Exp. Avg]]),"✓"," ✗")</f>
        <v>#DIV/0!</v>
      </c>
      <c r="J90" s="24"/>
    </row>
    <row r="91" spans="1:10">
      <c r="A91" s="145"/>
      <c r="B91" s="24"/>
      <c r="C91" s="24"/>
      <c r="D91" s="24"/>
      <c r="E91" s="24"/>
      <c r="F91" s="31" t="e">
        <f>Table3[[#This Row],[Quantity Used]]/Table3[[#This Row],[Quantity]]</f>
        <v>#DIV/0!</v>
      </c>
      <c r="G91" s="31">
        <v>0</v>
      </c>
      <c r="H91" s="31">
        <v>0</v>
      </c>
      <c r="I91" s="21" t="e">
        <f>IF(AND(Table3[[#This Row],[Actual Average]]&gt;Table3[[#This Row],[Lw. Exp. Avg]],Table3[[#This Row],[Actual Average]]&lt;Table3[[#This Row],[Hi. Exp. Avg]]),"✓"," ✗")</f>
        <v>#DIV/0!</v>
      </c>
      <c r="J91" s="24"/>
    </row>
    <row r="92" spans="1:10">
      <c r="A92" s="145"/>
      <c r="B92" s="24"/>
      <c r="C92" s="24"/>
      <c r="D92" s="24"/>
      <c r="E92" s="24"/>
      <c r="F92" s="31" t="e">
        <f>Table3[[#This Row],[Quantity Used]]/Table3[[#This Row],[Quantity]]</f>
        <v>#DIV/0!</v>
      </c>
      <c r="G92" s="31">
        <v>0</v>
      </c>
      <c r="H92" s="31">
        <v>0</v>
      </c>
      <c r="I92" s="21" t="e">
        <f>IF(AND(Table3[[#This Row],[Actual Average]]&gt;Table3[[#This Row],[Lw. Exp. Avg]],Table3[[#This Row],[Actual Average]]&lt;Table3[[#This Row],[Hi. Exp. Avg]]),"✓"," ✗")</f>
        <v>#DIV/0!</v>
      </c>
      <c r="J92" s="24"/>
    </row>
    <row r="93" spans="1:10">
      <c r="A93" s="145"/>
      <c r="B93" s="24"/>
      <c r="C93" s="24"/>
      <c r="D93" s="24"/>
      <c r="E93" s="24"/>
      <c r="F93" s="31" t="e">
        <f>Table3[[#This Row],[Quantity Used]]/Table3[[#This Row],[Quantity]]</f>
        <v>#DIV/0!</v>
      </c>
      <c r="G93" s="31">
        <v>0</v>
      </c>
      <c r="H93" s="31">
        <v>0</v>
      </c>
      <c r="I93" s="21" t="e">
        <f>IF(AND(Table3[[#This Row],[Actual Average]]&gt;Table3[[#This Row],[Lw. Exp. Avg]],Table3[[#This Row],[Actual Average]]&lt;Table3[[#This Row],[Hi. Exp. Avg]]),"✓"," ✗")</f>
        <v>#DIV/0!</v>
      </c>
      <c r="J93" s="24"/>
    </row>
    <row r="94" spans="1:10">
      <c r="A94" s="145"/>
      <c r="B94" s="24"/>
      <c r="C94" s="24"/>
      <c r="D94" s="24"/>
      <c r="E94" s="24"/>
      <c r="F94" s="31" t="e">
        <f>Table3[[#This Row],[Quantity Used]]/Table3[[#This Row],[Quantity]]</f>
        <v>#DIV/0!</v>
      </c>
      <c r="G94" s="31">
        <v>0</v>
      </c>
      <c r="H94" s="31">
        <v>0</v>
      </c>
      <c r="I94" s="21" t="e">
        <f>IF(AND(Table3[[#This Row],[Actual Average]]&gt;Table3[[#This Row],[Lw. Exp. Avg]],Table3[[#This Row],[Actual Average]]&lt;Table3[[#This Row],[Hi. Exp. Avg]]),"✓"," ✗")</f>
        <v>#DIV/0!</v>
      </c>
      <c r="J94" s="24"/>
    </row>
    <row r="95" spans="1:10">
      <c r="A95" s="145"/>
      <c r="B95" s="24"/>
      <c r="C95" s="24"/>
      <c r="D95" s="24"/>
      <c r="E95" s="24"/>
      <c r="F95" s="31" t="e">
        <f>Table3[[#This Row],[Quantity Used]]/Table3[[#This Row],[Quantity]]</f>
        <v>#DIV/0!</v>
      </c>
      <c r="G95" s="31">
        <v>0</v>
      </c>
      <c r="H95" s="31">
        <v>0</v>
      </c>
      <c r="I95" s="21" t="e">
        <f>IF(AND(Table3[[#This Row],[Actual Average]]&gt;Table3[[#This Row],[Lw. Exp. Avg]],Table3[[#This Row],[Actual Average]]&lt;Table3[[#This Row],[Hi. Exp. Avg]]),"✓"," ✗")</f>
        <v>#DIV/0!</v>
      </c>
      <c r="J95" s="24"/>
    </row>
    <row r="96" spans="1:10">
      <c r="A96" s="145"/>
      <c r="B96" s="24"/>
      <c r="C96" s="24"/>
      <c r="D96" s="24"/>
      <c r="E96" s="24"/>
      <c r="F96" s="31" t="e">
        <f>Table3[[#This Row],[Quantity Used]]/Table3[[#This Row],[Quantity]]</f>
        <v>#DIV/0!</v>
      </c>
      <c r="G96" s="31">
        <v>0</v>
      </c>
      <c r="H96" s="31">
        <v>0</v>
      </c>
      <c r="I96" s="21" t="e">
        <f>IF(AND(Table3[[#This Row],[Actual Average]]&gt;Table3[[#This Row],[Lw. Exp. Avg]],Table3[[#This Row],[Actual Average]]&lt;Table3[[#This Row],[Hi. Exp. Avg]]),"✓"," ✗")</f>
        <v>#DIV/0!</v>
      </c>
      <c r="J96" s="24"/>
    </row>
    <row r="97" spans="1:10">
      <c r="A97" s="145"/>
      <c r="B97" s="24"/>
      <c r="C97" s="24"/>
      <c r="D97" s="24"/>
      <c r="E97" s="24"/>
      <c r="F97" s="31" t="e">
        <f>Table3[[#This Row],[Quantity Used]]/Table3[[#This Row],[Quantity]]</f>
        <v>#DIV/0!</v>
      </c>
      <c r="G97" s="31">
        <v>0</v>
      </c>
      <c r="H97" s="31">
        <v>0</v>
      </c>
      <c r="I97" s="21" t="e">
        <f>IF(AND(Table3[[#This Row],[Actual Average]]&gt;Table3[[#This Row],[Lw. Exp. Avg]],Table3[[#This Row],[Actual Average]]&lt;Table3[[#This Row],[Hi. Exp. Avg]]),"✓"," ✗")</f>
        <v>#DIV/0!</v>
      </c>
      <c r="J97" s="24"/>
    </row>
    <row r="98" spans="1:10">
      <c r="A98" s="145"/>
      <c r="B98" s="24"/>
      <c r="C98" s="24"/>
      <c r="D98" s="24"/>
      <c r="E98" s="24"/>
      <c r="F98" s="31" t="e">
        <f>Table3[[#This Row],[Quantity Used]]/Table3[[#This Row],[Quantity]]</f>
        <v>#DIV/0!</v>
      </c>
      <c r="G98" s="31">
        <v>0</v>
      </c>
      <c r="H98" s="31">
        <v>0</v>
      </c>
      <c r="I98" s="21" t="e">
        <f>IF(AND(Table3[[#This Row],[Actual Average]]&gt;Table3[[#This Row],[Lw. Exp. Avg]],Table3[[#This Row],[Actual Average]]&lt;Table3[[#This Row],[Hi. Exp. Avg]]),"✓"," ✗")</f>
        <v>#DIV/0!</v>
      </c>
      <c r="J98" s="24"/>
    </row>
    <row r="99" spans="1:10">
      <c r="A99" s="145"/>
      <c r="B99" s="24"/>
      <c r="C99" s="24"/>
      <c r="D99" s="24"/>
      <c r="E99" s="24"/>
      <c r="F99" s="31" t="e">
        <f>Table3[[#This Row],[Quantity Used]]/Table3[[#This Row],[Quantity]]</f>
        <v>#DIV/0!</v>
      </c>
      <c r="G99" s="31">
        <v>0</v>
      </c>
      <c r="H99" s="31">
        <v>0</v>
      </c>
      <c r="I99" s="21" t="e">
        <f>IF(AND(Table3[[#This Row],[Actual Average]]&gt;Table3[[#This Row],[Lw. Exp. Avg]],Table3[[#This Row],[Actual Average]]&lt;Table3[[#This Row],[Hi. Exp. Avg]]),"✓"," ✗")</f>
        <v>#DIV/0!</v>
      </c>
      <c r="J99" s="24"/>
    </row>
    <row r="100" spans="1:10">
      <c r="A100" s="145"/>
      <c r="B100" s="24"/>
      <c r="C100" s="24"/>
      <c r="D100" s="24"/>
      <c r="E100" s="24"/>
      <c r="F100" s="31" t="e">
        <f>Table3[[#This Row],[Quantity Used]]/Table3[[#This Row],[Quantity]]</f>
        <v>#DIV/0!</v>
      </c>
      <c r="G100" s="31">
        <v>0</v>
      </c>
      <c r="H100" s="31">
        <v>0</v>
      </c>
      <c r="I100" s="21" t="e">
        <f>IF(AND(Table3[[#This Row],[Actual Average]]&gt;Table3[[#This Row],[Lw. Exp. Avg]],Table3[[#This Row],[Actual Average]]&lt;Table3[[#This Row],[Hi. Exp. Avg]]),"✓"," ✗")</f>
        <v>#DIV/0!</v>
      </c>
      <c r="J100" s="24"/>
    </row>
    <row r="101" spans="1:10">
      <c r="A101" s="145"/>
      <c r="B101" s="24"/>
      <c r="C101" s="24"/>
      <c r="D101" s="24"/>
      <c r="E101" s="24"/>
      <c r="F101" s="31" t="e">
        <f>Table3[[#This Row],[Quantity Used]]/Table3[[#This Row],[Quantity]]</f>
        <v>#DIV/0!</v>
      </c>
      <c r="G101" s="31">
        <v>0</v>
      </c>
      <c r="H101" s="31">
        <v>0</v>
      </c>
      <c r="I101" s="21" t="e">
        <f>IF(AND(Table3[[#This Row],[Actual Average]]&gt;Table3[[#This Row],[Lw. Exp. Avg]],Table3[[#This Row],[Actual Average]]&lt;Table3[[#This Row],[Hi. Exp. Avg]]),"✓"," ✗")</f>
        <v>#DIV/0!</v>
      </c>
      <c r="J101" s="24"/>
    </row>
    <row r="102" spans="1:10">
      <c r="A102" s="145"/>
      <c r="B102" s="24"/>
      <c r="C102" s="24"/>
      <c r="D102" s="24"/>
      <c r="E102" s="24"/>
      <c r="F102" s="31" t="e">
        <f>Table3[[#This Row],[Quantity Used]]/Table3[[#This Row],[Quantity]]</f>
        <v>#DIV/0!</v>
      </c>
      <c r="G102" s="31">
        <v>0</v>
      </c>
      <c r="H102" s="31">
        <v>0</v>
      </c>
      <c r="I102" s="21" t="e">
        <f>IF(AND(Table3[[#This Row],[Actual Average]]&gt;Table3[[#This Row],[Lw. Exp. Avg]],Table3[[#This Row],[Actual Average]]&lt;Table3[[#This Row],[Hi. Exp. Avg]]),"✓"," ✗")</f>
        <v>#DIV/0!</v>
      </c>
      <c r="J102" s="24"/>
    </row>
  </sheetData>
  <sheetProtection formatCells="0" formatColumns="0" formatRows="0" insertColumns="0" insertRows="0" sort="0"/>
  <protectedRanges>
    <protectedRange sqref="J1:L1048576" name="Remarks"/>
    <protectedRange sqref="A1:E1048576" name="Inputs"/>
    <protectedRange sqref="G1:I1048576" name="Calculations"/>
  </protectedRanges>
  <dataValidations count="2">
    <dataValidation type="list" allowBlank="1" showInputMessage="1" showErrorMessage="1" sqref="D1:D102">
      <formula1>Products!$A$2:$A$151</formula1>
    </dataValidation>
    <dataValidation type="list" allowBlank="1" showInputMessage="1" showErrorMessage="1" sqref="B2:B1048576">
      <formula1>Cloth!$A$2:$A$152</formula1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92"/>
  <sheetViews>
    <sheetView view="pageBreakPreview" zoomScaleSheetLayoutView="100" workbookViewId="0">
      <pane ySplit="3" topLeftCell="A4" activePane="bottomLeft" state="frozen"/>
      <selection activeCell="A5" sqref="A5:C5"/>
      <selection pane="bottomLeft" activeCell="B4" sqref="B4"/>
    </sheetView>
  </sheetViews>
  <sheetFormatPr defaultRowHeight="12.75"/>
  <cols>
    <col min="1" max="1" width="21.42578125" style="36" customWidth="1"/>
    <col min="2" max="2" width="13.7109375" style="36" customWidth="1"/>
    <col min="3" max="3" width="10.42578125" style="36" customWidth="1"/>
    <col min="4" max="4" width="9.28515625" style="36" bestFit="1" customWidth="1"/>
    <col min="5" max="5" width="9.5703125" style="36" bestFit="1" customWidth="1"/>
    <col min="6" max="6" width="9.28515625" style="36" bestFit="1" customWidth="1"/>
    <col min="7" max="7" width="10.28515625" style="36" customWidth="1"/>
    <col min="8" max="8" width="11.7109375" style="36" customWidth="1"/>
    <col min="9" max="9" width="9.28515625" style="36" bestFit="1" customWidth="1"/>
    <col min="10" max="14" width="10.140625" style="36" customWidth="1"/>
    <col min="15" max="16" width="6.7109375" style="37" bestFit="1" customWidth="1"/>
    <col min="17" max="17" width="5" style="37" bestFit="1" customWidth="1"/>
    <col min="18" max="16384" width="9.140625" style="36"/>
  </cols>
  <sheetData>
    <row r="1" spans="1:17" ht="18.75" thickBot="1">
      <c r="A1" s="33" t="s">
        <v>157</v>
      </c>
      <c r="B1" s="33"/>
      <c r="C1" s="33"/>
      <c r="D1" s="33"/>
      <c r="E1" s="34">
        <v>40221</v>
      </c>
      <c r="F1" s="34"/>
      <c r="G1" s="35">
        <f>E1+6-0-0</f>
        <v>40227</v>
      </c>
      <c r="H1" s="35"/>
    </row>
    <row r="2" spans="1:17" s="44" customFormat="1">
      <c r="A2" s="38"/>
      <c r="B2" s="39" t="s">
        <v>158</v>
      </c>
      <c r="C2" s="40"/>
      <c r="D2" s="39" t="s">
        <v>159</v>
      </c>
      <c r="E2" s="41"/>
      <c r="F2" s="41"/>
      <c r="G2" s="41"/>
      <c r="H2" s="41"/>
      <c r="I2" s="41"/>
      <c r="J2" s="41"/>
      <c r="K2" s="40"/>
      <c r="L2" s="39" t="s">
        <v>160</v>
      </c>
      <c r="M2" s="41"/>
      <c r="N2" s="42"/>
      <c r="O2" s="43"/>
      <c r="P2" s="43"/>
      <c r="Q2" s="43"/>
    </row>
    <row r="3" spans="1:17" s="44" customFormat="1" ht="13.5" thickBot="1">
      <c r="A3" s="45" t="s">
        <v>161</v>
      </c>
      <c r="B3" s="46" t="s">
        <v>162</v>
      </c>
      <c r="C3" s="47" t="s">
        <v>163</v>
      </c>
      <c r="D3" s="48" t="s">
        <v>164</v>
      </c>
      <c r="E3" s="46" t="s">
        <v>165</v>
      </c>
      <c r="F3" s="46" t="s">
        <v>166</v>
      </c>
      <c r="G3" s="46" t="s">
        <v>167</v>
      </c>
      <c r="H3" s="46" t="s">
        <v>168</v>
      </c>
      <c r="I3" s="46" t="s">
        <v>169</v>
      </c>
      <c r="J3" s="47" t="s">
        <v>170</v>
      </c>
      <c r="K3" s="47" t="s">
        <v>171</v>
      </c>
      <c r="L3" s="46" t="s">
        <v>172</v>
      </c>
      <c r="M3" s="46" t="s">
        <v>173</v>
      </c>
      <c r="N3" s="49" t="s">
        <v>174</v>
      </c>
      <c r="O3" s="43"/>
      <c r="P3" s="43"/>
      <c r="Q3" s="43"/>
    </row>
    <row r="4" spans="1:17" s="55" customFormat="1">
      <c r="A4" s="50" t="s">
        <v>175</v>
      </c>
      <c r="B4" s="51">
        <f>E1</f>
        <v>40221</v>
      </c>
      <c r="C4" s="52"/>
      <c r="D4" s="53"/>
      <c r="E4" s="53"/>
      <c r="F4" s="53"/>
      <c r="G4" s="53"/>
      <c r="H4" s="53"/>
      <c r="I4" s="53"/>
      <c r="J4" s="53"/>
      <c r="K4" s="52"/>
      <c r="L4" s="53"/>
      <c r="M4" s="53"/>
      <c r="N4" s="54"/>
      <c r="O4" s="37"/>
      <c r="P4" s="37"/>
      <c r="Q4" s="37"/>
    </row>
    <row r="5" spans="1:17">
      <c r="A5" s="56"/>
      <c r="B5" s="57"/>
      <c r="C5" s="58"/>
      <c r="D5" s="57"/>
      <c r="E5" s="57"/>
      <c r="F5" s="57"/>
      <c r="G5" s="57"/>
      <c r="H5" s="57"/>
      <c r="I5" s="57"/>
      <c r="J5" s="57"/>
      <c r="K5" s="58"/>
      <c r="L5" s="57"/>
      <c r="M5" s="57"/>
      <c r="N5" s="59"/>
      <c r="O5" s="60">
        <f>SUM(B5:C5)</f>
        <v>0</v>
      </c>
      <c r="P5" s="60">
        <f>SUM(D5:N5)</f>
        <v>0</v>
      </c>
    </row>
    <row r="6" spans="1:17">
      <c r="A6" s="56"/>
      <c r="B6" s="57"/>
      <c r="C6" s="58"/>
      <c r="D6" s="57"/>
      <c r="E6" s="57"/>
      <c r="F6" s="57"/>
      <c r="G6" s="57"/>
      <c r="H6" s="57"/>
      <c r="I6" s="57"/>
      <c r="J6" s="57"/>
      <c r="K6" s="58"/>
      <c r="L6" s="57"/>
      <c r="M6" s="57"/>
      <c r="N6" s="59"/>
      <c r="O6" s="60">
        <f t="shared" ref="O6:O69" si="0">SUM(B6:C6)</f>
        <v>0</v>
      </c>
      <c r="P6" s="60">
        <f t="shared" ref="P6:P69" si="1">SUM(D6:N6)</f>
        <v>0</v>
      </c>
    </row>
    <row r="7" spans="1:17">
      <c r="A7" s="56"/>
      <c r="B7" s="57"/>
      <c r="C7" s="58"/>
      <c r="D7" s="57"/>
      <c r="E7" s="57"/>
      <c r="F7" s="57"/>
      <c r="G7" s="57"/>
      <c r="H7" s="57"/>
      <c r="I7" s="57"/>
      <c r="J7" s="57"/>
      <c r="K7" s="58"/>
      <c r="L7" s="57"/>
      <c r="M7" s="57"/>
      <c r="N7" s="59"/>
      <c r="O7" s="60">
        <f t="shared" si="0"/>
        <v>0</v>
      </c>
      <c r="P7" s="60">
        <f t="shared" si="1"/>
        <v>0</v>
      </c>
    </row>
    <row r="8" spans="1:17">
      <c r="A8" s="56"/>
      <c r="B8" s="57"/>
      <c r="C8" s="58"/>
      <c r="D8" s="57"/>
      <c r="E8" s="57"/>
      <c r="F8" s="57"/>
      <c r="G8" s="57"/>
      <c r="H8" s="57"/>
      <c r="I8" s="57"/>
      <c r="J8" s="57"/>
      <c r="K8" s="58"/>
      <c r="L8" s="57"/>
      <c r="M8" s="57"/>
      <c r="N8" s="59"/>
      <c r="O8" s="60">
        <f t="shared" si="0"/>
        <v>0</v>
      </c>
      <c r="P8" s="60">
        <f t="shared" si="1"/>
        <v>0</v>
      </c>
    </row>
    <row r="9" spans="1:17">
      <c r="A9" s="56"/>
      <c r="B9" s="57"/>
      <c r="C9" s="58"/>
      <c r="D9" s="57"/>
      <c r="E9" s="57"/>
      <c r="F9" s="57"/>
      <c r="G9" s="57"/>
      <c r="H9" s="57"/>
      <c r="I9" s="57"/>
      <c r="J9" s="57"/>
      <c r="K9" s="58"/>
      <c r="L9" s="57"/>
      <c r="M9" s="57"/>
      <c r="N9" s="59"/>
      <c r="O9" s="60">
        <f t="shared" si="0"/>
        <v>0</v>
      </c>
      <c r="P9" s="60">
        <f t="shared" si="1"/>
        <v>0</v>
      </c>
    </row>
    <row r="10" spans="1:17">
      <c r="A10" s="56"/>
      <c r="B10" s="57"/>
      <c r="C10" s="58"/>
      <c r="D10" s="57"/>
      <c r="E10" s="57"/>
      <c r="F10" s="57"/>
      <c r="G10" s="57"/>
      <c r="H10" s="57"/>
      <c r="I10" s="61"/>
      <c r="J10" s="57"/>
      <c r="K10" s="58"/>
      <c r="L10" s="57"/>
      <c r="M10" s="57"/>
      <c r="N10" s="59"/>
      <c r="O10" s="60">
        <f t="shared" si="0"/>
        <v>0</v>
      </c>
      <c r="P10" s="60">
        <f t="shared" si="1"/>
        <v>0</v>
      </c>
    </row>
    <row r="11" spans="1:17">
      <c r="A11" s="56"/>
      <c r="B11" s="57"/>
      <c r="C11" s="58"/>
      <c r="D11" s="57"/>
      <c r="E11" s="57"/>
      <c r="F11" s="57"/>
      <c r="G11" s="57"/>
      <c r="H11" s="57"/>
      <c r="I11" s="57"/>
      <c r="J11" s="57"/>
      <c r="K11" s="58"/>
      <c r="L11" s="57"/>
      <c r="M11" s="57"/>
      <c r="N11" s="59"/>
      <c r="O11" s="60">
        <f t="shared" si="0"/>
        <v>0</v>
      </c>
      <c r="P11" s="60">
        <f t="shared" si="1"/>
        <v>0</v>
      </c>
    </row>
    <row r="12" spans="1:17">
      <c r="A12" s="56"/>
      <c r="B12" s="57"/>
      <c r="C12" s="58"/>
      <c r="D12" s="57"/>
      <c r="E12" s="57"/>
      <c r="F12" s="57"/>
      <c r="G12" s="57"/>
      <c r="H12" s="57"/>
      <c r="I12" s="57"/>
      <c r="J12" s="57"/>
      <c r="K12" s="58"/>
      <c r="L12" s="57"/>
      <c r="M12" s="57"/>
      <c r="N12" s="59"/>
      <c r="O12" s="60">
        <f t="shared" si="0"/>
        <v>0</v>
      </c>
      <c r="P12" s="60">
        <f t="shared" si="1"/>
        <v>0</v>
      </c>
    </row>
    <row r="13" spans="1:17">
      <c r="A13" s="56"/>
      <c r="B13" s="57"/>
      <c r="C13" s="58"/>
      <c r="D13" s="57"/>
      <c r="E13" s="57"/>
      <c r="F13" s="57"/>
      <c r="G13" s="57"/>
      <c r="H13" s="57"/>
      <c r="I13" s="57"/>
      <c r="J13" s="57"/>
      <c r="K13" s="58"/>
      <c r="L13" s="57"/>
      <c r="M13" s="57"/>
      <c r="N13" s="59"/>
      <c r="O13" s="60">
        <f t="shared" si="0"/>
        <v>0</v>
      </c>
      <c r="P13" s="60">
        <f t="shared" si="1"/>
        <v>0</v>
      </c>
    </row>
    <row r="14" spans="1:17" s="67" customFormat="1" ht="13.5" thickBot="1">
      <c r="A14" s="62"/>
      <c r="B14" s="63"/>
      <c r="C14" s="64"/>
      <c r="D14" s="63"/>
      <c r="E14" s="63"/>
      <c r="F14" s="63"/>
      <c r="G14" s="63"/>
      <c r="H14" s="63"/>
      <c r="I14" s="63"/>
      <c r="J14" s="63"/>
      <c r="K14" s="64"/>
      <c r="L14" s="63"/>
      <c r="M14" s="63"/>
      <c r="N14" s="65"/>
      <c r="O14" s="60">
        <f t="shared" si="0"/>
        <v>0</v>
      </c>
      <c r="P14" s="60">
        <f t="shared" si="1"/>
        <v>0</v>
      </c>
      <c r="Q14" s="66"/>
    </row>
    <row r="15" spans="1:17" s="76" customFormat="1">
      <c r="A15" s="68" t="s">
        <v>176</v>
      </c>
      <c r="B15" s="69">
        <f>B4+1</f>
        <v>40222</v>
      </c>
      <c r="C15" s="70"/>
      <c r="D15" s="71"/>
      <c r="E15" s="71"/>
      <c r="F15" s="71"/>
      <c r="G15" s="71"/>
      <c r="H15" s="71"/>
      <c r="I15" s="72"/>
      <c r="J15" s="72"/>
      <c r="K15" s="72"/>
      <c r="L15" s="71"/>
      <c r="M15" s="71"/>
      <c r="N15" s="73"/>
      <c r="O15" s="74"/>
      <c r="P15" s="74">
        <f t="shared" si="1"/>
        <v>0</v>
      </c>
      <c r="Q15" s="75"/>
    </row>
    <row r="16" spans="1:17">
      <c r="A16" s="77"/>
      <c r="B16" s="57"/>
      <c r="C16" s="58"/>
      <c r="D16" s="57"/>
      <c r="E16" s="57"/>
      <c r="F16" s="57"/>
      <c r="G16" s="57"/>
      <c r="H16" s="57"/>
      <c r="I16" s="57"/>
      <c r="J16" s="57"/>
      <c r="K16" s="58"/>
      <c r="L16" s="57"/>
      <c r="M16" s="57"/>
      <c r="N16" s="59"/>
      <c r="O16" s="60">
        <f t="shared" si="0"/>
        <v>0</v>
      </c>
      <c r="P16" s="60">
        <f t="shared" si="1"/>
        <v>0</v>
      </c>
    </row>
    <row r="17" spans="1:17">
      <c r="A17" s="78"/>
      <c r="B17" s="57"/>
      <c r="C17" s="58"/>
      <c r="D17" s="57"/>
      <c r="E17" s="57"/>
      <c r="F17" s="57"/>
      <c r="G17" s="57"/>
      <c r="H17" s="57"/>
      <c r="I17" s="57"/>
      <c r="J17" s="57"/>
      <c r="K17" s="58"/>
      <c r="L17" s="57"/>
      <c r="M17" s="57"/>
      <c r="N17" s="59"/>
      <c r="O17" s="60">
        <f t="shared" si="0"/>
        <v>0</v>
      </c>
      <c r="P17" s="60">
        <f t="shared" si="1"/>
        <v>0</v>
      </c>
    </row>
    <row r="18" spans="1:17">
      <c r="A18" s="78"/>
      <c r="B18" s="57"/>
      <c r="C18" s="58"/>
      <c r="D18" s="57"/>
      <c r="E18" s="57"/>
      <c r="F18" s="57"/>
      <c r="G18" s="57"/>
      <c r="H18" s="57"/>
      <c r="I18" s="57"/>
      <c r="J18" s="57"/>
      <c r="K18" s="58"/>
      <c r="L18" s="57"/>
      <c r="M18" s="57"/>
      <c r="N18" s="59"/>
      <c r="O18" s="60">
        <f t="shared" si="0"/>
        <v>0</v>
      </c>
      <c r="P18" s="60">
        <f t="shared" si="1"/>
        <v>0</v>
      </c>
    </row>
    <row r="19" spans="1:17">
      <c r="A19" s="78"/>
      <c r="B19" s="57"/>
      <c r="C19" s="58"/>
      <c r="D19" s="57"/>
      <c r="E19" s="57"/>
      <c r="F19" s="57"/>
      <c r="G19" s="57"/>
      <c r="H19" s="57"/>
      <c r="I19" s="57"/>
      <c r="J19" s="57"/>
      <c r="K19" s="58"/>
      <c r="L19" s="57"/>
      <c r="M19" s="57"/>
      <c r="N19" s="59"/>
      <c r="O19" s="60">
        <f t="shared" si="0"/>
        <v>0</v>
      </c>
      <c r="P19" s="60">
        <f t="shared" si="1"/>
        <v>0</v>
      </c>
    </row>
    <row r="20" spans="1:17">
      <c r="A20" s="78"/>
      <c r="B20" s="57"/>
      <c r="C20" s="58"/>
      <c r="D20" s="57"/>
      <c r="E20" s="57"/>
      <c r="F20" s="57"/>
      <c r="G20" s="57"/>
      <c r="H20" s="57"/>
      <c r="I20" s="57"/>
      <c r="J20" s="57"/>
      <c r="K20" s="58"/>
      <c r="L20" s="57"/>
      <c r="M20" s="57"/>
      <c r="N20" s="59"/>
      <c r="O20" s="60">
        <f t="shared" si="0"/>
        <v>0</v>
      </c>
      <c r="P20" s="60">
        <f t="shared" si="1"/>
        <v>0</v>
      </c>
    </row>
    <row r="21" spans="1:17">
      <c r="A21" s="78"/>
      <c r="B21" s="57"/>
      <c r="C21" s="58"/>
      <c r="D21" s="57"/>
      <c r="E21" s="57"/>
      <c r="F21" s="57"/>
      <c r="G21" s="57"/>
      <c r="H21" s="57"/>
      <c r="I21" s="57"/>
      <c r="J21" s="57"/>
      <c r="K21" s="58"/>
      <c r="L21" s="57"/>
      <c r="M21" s="57"/>
      <c r="N21" s="59"/>
      <c r="O21" s="60">
        <f t="shared" si="0"/>
        <v>0</v>
      </c>
      <c r="P21" s="60">
        <f t="shared" si="1"/>
        <v>0</v>
      </c>
    </row>
    <row r="22" spans="1:17">
      <c r="A22" s="78"/>
      <c r="B22" s="57"/>
      <c r="C22" s="58"/>
      <c r="D22" s="57"/>
      <c r="E22" s="57"/>
      <c r="F22" s="57"/>
      <c r="G22" s="57"/>
      <c r="H22" s="57"/>
      <c r="I22" s="57"/>
      <c r="J22" s="57"/>
      <c r="K22" s="58"/>
      <c r="L22" s="57"/>
      <c r="M22" s="57"/>
      <c r="N22" s="59"/>
      <c r="O22" s="60">
        <f t="shared" si="0"/>
        <v>0</v>
      </c>
      <c r="P22" s="60">
        <f t="shared" si="1"/>
        <v>0</v>
      </c>
    </row>
    <row r="23" spans="1:17">
      <c r="A23" s="78"/>
      <c r="B23" s="57"/>
      <c r="C23" s="58"/>
      <c r="D23" s="57"/>
      <c r="E23" s="57"/>
      <c r="F23" s="57"/>
      <c r="G23" s="57"/>
      <c r="H23" s="57"/>
      <c r="I23" s="57"/>
      <c r="J23" s="57"/>
      <c r="K23" s="58"/>
      <c r="L23" s="57"/>
      <c r="M23" s="57"/>
      <c r="N23" s="59"/>
      <c r="O23" s="60">
        <f t="shared" si="0"/>
        <v>0</v>
      </c>
      <c r="P23" s="60">
        <f t="shared" si="1"/>
        <v>0</v>
      </c>
    </row>
    <row r="24" spans="1:17">
      <c r="A24" s="78"/>
      <c r="B24" s="57"/>
      <c r="C24" s="58"/>
      <c r="D24" s="57"/>
      <c r="E24" s="57"/>
      <c r="F24" s="57"/>
      <c r="G24" s="57"/>
      <c r="H24" s="57"/>
      <c r="I24" s="57"/>
      <c r="J24" s="57"/>
      <c r="K24" s="58"/>
      <c r="L24" s="57"/>
      <c r="M24" s="57"/>
      <c r="N24" s="59"/>
      <c r="O24" s="60">
        <f t="shared" si="0"/>
        <v>0</v>
      </c>
      <c r="P24" s="60">
        <f t="shared" si="1"/>
        <v>0</v>
      </c>
    </row>
    <row r="25" spans="1:17" s="67" customFormat="1" ht="13.5" thickBot="1">
      <c r="A25" s="79"/>
      <c r="B25" s="63"/>
      <c r="C25" s="64"/>
      <c r="D25" s="63"/>
      <c r="E25" s="63"/>
      <c r="F25" s="63"/>
      <c r="G25" s="63"/>
      <c r="H25" s="63"/>
      <c r="I25" s="63"/>
      <c r="J25" s="63"/>
      <c r="K25" s="64"/>
      <c r="L25" s="63"/>
      <c r="M25" s="63"/>
      <c r="N25" s="65"/>
      <c r="O25" s="60">
        <f t="shared" si="0"/>
        <v>0</v>
      </c>
      <c r="P25" s="60">
        <f t="shared" si="1"/>
        <v>0</v>
      </c>
      <c r="Q25" s="66"/>
    </row>
    <row r="26" spans="1:17" s="55" customFormat="1">
      <c r="A26" s="50" t="s">
        <v>177</v>
      </c>
      <c r="B26" s="51">
        <f>B4+2</f>
        <v>40223</v>
      </c>
      <c r="C26" s="52"/>
      <c r="D26" s="53"/>
      <c r="E26" s="53"/>
      <c r="F26" s="53"/>
      <c r="G26" s="53"/>
      <c r="H26" s="71"/>
      <c r="I26" s="80"/>
      <c r="J26" s="72"/>
      <c r="K26" s="72"/>
      <c r="L26" s="53"/>
      <c r="M26" s="53"/>
      <c r="N26" s="54"/>
      <c r="O26" s="60"/>
      <c r="P26" s="60">
        <f t="shared" si="1"/>
        <v>0</v>
      </c>
      <c r="Q26" s="37"/>
    </row>
    <row r="27" spans="1:17">
      <c r="A27" s="78"/>
      <c r="B27" s="57"/>
      <c r="C27" s="58"/>
      <c r="D27" s="57"/>
      <c r="E27" s="57"/>
      <c r="F27" s="57"/>
      <c r="G27" s="57"/>
      <c r="H27" s="57"/>
      <c r="I27" s="57"/>
      <c r="J27" s="57"/>
      <c r="K27" s="58"/>
      <c r="L27" s="57"/>
      <c r="M27" s="57"/>
      <c r="N27" s="59"/>
      <c r="O27" s="60">
        <f t="shared" si="0"/>
        <v>0</v>
      </c>
      <c r="P27" s="60">
        <f t="shared" si="1"/>
        <v>0</v>
      </c>
    </row>
    <row r="28" spans="1:17">
      <c r="A28" s="78"/>
      <c r="B28" s="57"/>
      <c r="C28" s="58"/>
      <c r="D28" s="57"/>
      <c r="E28" s="57"/>
      <c r="F28" s="57"/>
      <c r="G28" s="57"/>
      <c r="H28" s="57"/>
      <c r="I28" s="57"/>
      <c r="J28" s="57"/>
      <c r="K28" s="58"/>
      <c r="L28" s="57"/>
      <c r="M28" s="57"/>
      <c r="N28" s="59"/>
      <c r="O28" s="60">
        <f t="shared" si="0"/>
        <v>0</v>
      </c>
      <c r="P28" s="60">
        <f t="shared" si="1"/>
        <v>0</v>
      </c>
    </row>
    <row r="29" spans="1:17">
      <c r="A29" s="78"/>
      <c r="B29" s="57"/>
      <c r="C29" s="58"/>
      <c r="D29" s="57"/>
      <c r="E29" s="57"/>
      <c r="F29" s="57"/>
      <c r="G29" s="57"/>
      <c r="H29" s="57"/>
      <c r="I29" s="57"/>
      <c r="J29" s="57"/>
      <c r="K29" s="58"/>
      <c r="L29" s="57"/>
      <c r="M29" s="57"/>
      <c r="N29" s="59"/>
      <c r="O29" s="60">
        <f t="shared" si="0"/>
        <v>0</v>
      </c>
      <c r="P29" s="60">
        <f t="shared" si="1"/>
        <v>0</v>
      </c>
    </row>
    <row r="30" spans="1:17">
      <c r="A30" s="78"/>
      <c r="B30" s="57"/>
      <c r="C30" s="58"/>
      <c r="D30" s="57"/>
      <c r="E30" s="57"/>
      <c r="F30" s="57"/>
      <c r="G30" s="57"/>
      <c r="H30" s="57"/>
      <c r="I30" s="57"/>
      <c r="J30" s="57"/>
      <c r="K30" s="58"/>
      <c r="L30" s="57"/>
      <c r="M30" s="57"/>
      <c r="N30" s="59"/>
      <c r="O30" s="60">
        <f t="shared" si="0"/>
        <v>0</v>
      </c>
      <c r="P30" s="60">
        <f t="shared" si="1"/>
        <v>0</v>
      </c>
    </row>
    <row r="31" spans="1:17">
      <c r="A31" s="78"/>
      <c r="B31" s="57"/>
      <c r="C31" s="58"/>
      <c r="D31" s="57"/>
      <c r="E31" s="57"/>
      <c r="F31" s="57"/>
      <c r="G31" s="57"/>
      <c r="H31" s="57"/>
      <c r="I31" s="57"/>
      <c r="J31" s="57"/>
      <c r="K31" s="58"/>
      <c r="L31" s="57"/>
      <c r="M31" s="57"/>
      <c r="N31" s="59"/>
      <c r="O31" s="60">
        <f t="shared" si="0"/>
        <v>0</v>
      </c>
      <c r="P31" s="60">
        <f t="shared" si="1"/>
        <v>0</v>
      </c>
    </row>
    <row r="32" spans="1:17">
      <c r="A32" s="78"/>
      <c r="B32" s="57"/>
      <c r="C32" s="58"/>
      <c r="D32" s="57"/>
      <c r="E32" s="57"/>
      <c r="F32" s="57"/>
      <c r="G32" s="57"/>
      <c r="H32" s="57"/>
      <c r="I32" s="57"/>
      <c r="J32" s="57"/>
      <c r="K32" s="58"/>
      <c r="L32" s="57"/>
      <c r="M32" s="57"/>
      <c r="N32" s="59"/>
      <c r="O32" s="60">
        <f t="shared" si="0"/>
        <v>0</v>
      </c>
      <c r="P32" s="60">
        <f t="shared" si="1"/>
        <v>0</v>
      </c>
    </row>
    <row r="33" spans="1:17">
      <c r="A33" s="78"/>
      <c r="B33" s="57"/>
      <c r="C33" s="58"/>
      <c r="D33" s="57"/>
      <c r="E33" s="57"/>
      <c r="F33" s="57"/>
      <c r="G33" s="57"/>
      <c r="H33" s="57"/>
      <c r="I33" s="57"/>
      <c r="J33" s="57"/>
      <c r="K33" s="58"/>
      <c r="L33" s="57"/>
      <c r="M33" s="57"/>
      <c r="N33" s="59"/>
      <c r="O33" s="60">
        <f t="shared" si="0"/>
        <v>0</v>
      </c>
      <c r="P33" s="60">
        <f t="shared" si="1"/>
        <v>0</v>
      </c>
    </row>
    <row r="34" spans="1:17">
      <c r="A34" s="78"/>
      <c r="B34" s="57"/>
      <c r="C34" s="58"/>
      <c r="D34" s="57"/>
      <c r="E34" s="57"/>
      <c r="F34" s="57"/>
      <c r="G34" s="57"/>
      <c r="H34" s="57"/>
      <c r="I34" s="57"/>
      <c r="J34" s="57"/>
      <c r="K34" s="58"/>
      <c r="L34" s="57"/>
      <c r="M34" s="57"/>
      <c r="N34" s="59"/>
      <c r="O34" s="60">
        <f t="shared" si="0"/>
        <v>0</v>
      </c>
      <c r="P34" s="60">
        <f t="shared" si="1"/>
        <v>0</v>
      </c>
    </row>
    <row r="35" spans="1:17">
      <c r="A35" s="78"/>
      <c r="B35" s="57"/>
      <c r="C35" s="58"/>
      <c r="D35" s="57"/>
      <c r="E35" s="57"/>
      <c r="F35" s="57"/>
      <c r="G35" s="57"/>
      <c r="H35" s="57"/>
      <c r="I35" s="57"/>
      <c r="J35" s="57"/>
      <c r="K35" s="58"/>
      <c r="L35" s="57"/>
      <c r="M35" s="57"/>
      <c r="N35" s="59"/>
      <c r="O35" s="60">
        <f t="shared" si="0"/>
        <v>0</v>
      </c>
      <c r="P35" s="60">
        <f t="shared" si="1"/>
        <v>0</v>
      </c>
    </row>
    <row r="36" spans="1:17" s="67" customFormat="1" ht="13.5" thickBot="1">
      <c r="A36" s="79"/>
      <c r="B36" s="63"/>
      <c r="C36" s="64"/>
      <c r="D36" s="63"/>
      <c r="E36" s="63"/>
      <c r="F36" s="63"/>
      <c r="G36" s="63"/>
      <c r="H36" s="63"/>
      <c r="I36" s="63"/>
      <c r="J36" s="63"/>
      <c r="K36" s="64"/>
      <c r="L36" s="63"/>
      <c r="M36" s="63"/>
      <c r="N36" s="65"/>
      <c r="O36" s="60">
        <f t="shared" si="0"/>
        <v>0</v>
      </c>
      <c r="P36" s="60">
        <f t="shared" si="1"/>
        <v>0</v>
      </c>
      <c r="Q36" s="66"/>
    </row>
    <row r="37" spans="1:17" s="55" customFormat="1">
      <c r="A37" s="50" t="s">
        <v>178</v>
      </c>
      <c r="B37" s="51">
        <f>B4+3</f>
        <v>40224</v>
      </c>
      <c r="C37" s="52"/>
      <c r="D37" s="53"/>
      <c r="E37" s="53"/>
      <c r="F37" s="53"/>
      <c r="G37" s="53"/>
      <c r="H37" s="71"/>
      <c r="I37" s="53"/>
      <c r="J37" s="72"/>
      <c r="K37" s="72"/>
      <c r="L37" s="53"/>
      <c r="M37" s="53"/>
      <c r="N37" s="54"/>
      <c r="O37" s="60"/>
      <c r="P37" s="60">
        <f t="shared" si="1"/>
        <v>0</v>
      </c>
      <c r="Q37" s="37"/>
    </row>
    <row r="38" spans="1:17">
      <c r="A38" s="78"/>
      <c r="B38" s="57"/>
      <c r="C38" s="58"/>
      <c r="D38" s="57"/>
      <c r="E38" s="57"/>
      <c r="F38" s="57"/>
      <c r="G38" s="57"/>
      <c r="H38" s="57"/>
      <c r="I38" s="57"/>
      <c r="J38" s="57"/>
      <c r="K38" s="58"/>
      <c r="L38" s="57"/>
      <c r="M38" s="57"/>
      <c r="N38" s="59"/>
      <c r="O38" s="60">
        <f t="shared" si="0"/>
        <v>0</v>
      </c>
      <c r="P38" s="60">
        <f t="shared" si="1"/>
        <v>0</v>
      </c>
    </row>
    <row r="39" spans="1:17">
      <c r="A39" s="78"/>
      <c r="B39" s="57"/>
      <c r="C39" s="58"/>
      <c r="D39" s="57"/>
      <c r="E39" s="57"/>
      <c r="F39" s="57"/>
      <c r="G39" s="57"/>
      <c r="H39" s="57"/>
      <c r="I39" s="57"/>
      <c r="J39" s="57"/>
      <c r="K39" s="58"/>
      <c r="L39" s="57"/>
      <c r="M39" s="57"/>
      <c r="N39" s="59"/>
      <c r="O39" s="60">
        <f t="shared" si="0"/>
        <v>0</v>
      </c>
      <c r="P39" s="60">
        <f t="shared" si="1"/>
        <v>0</v>
      </c>
    </row>
    <row r="40" spans="1:17">
      <c r="A40" s="78"/>
      <c r="B40" s="57"/>
      <c r="C40" s="58"/>
      <c r="D40" s="57"/>
      <c r="E40" s="57"/>
      <c r="F40" s="57"/>
      <c r="G40" s="57"/>
      <c r="H40" s="57"/>
      <c r="I40" s="57"/>
      <c r="J40" s="57"/>
      <c r="K40" s="58"/>
      <c r="L40" s="57"/>
      <c r="M40" s="57"/>
      <c r="N40" s="59"/>
      <c r="O40" s="60">
        <f t="shared" si="0"/>
        <v>0</v>
      </c>
      <c r="P40" s="60">
        <f t="shared" si="1"/>
        <v>0</v>
      </c>
    </row>
    <row r="41" spans="1:17">
      <c r="A41" s="78"/>
      <c r="B41" s="57"/>
      <c r="C41" s="58"/>
      <c r="D41" s="57"/>
      <c r="E41" s="57"/>
      <c r="F41" s="57"/>
      <c r="G41" s="57"/>
      <c r="H41" s="57"/>
      <c r="I41" s="57"/>
      <c r="J41" s="57"/>
      <c r="K41" s="58"/>
      <c r="L41" s="57"/>
      <c r="M41" s="57"/>
      <c r="N41" s="59"/>
      <c r="O41" s="60">
        <f t="shared" si="0"/>
        <v>0</v>
      </c>
      <c r="P41" s="60">
        <f t="shared" si="1"/>
        <v>0</v>
      </c>
    </row>
    <row r="42" spans="1:17">
      <c r="A42" s="78"/>
      <c r="B42" s="57"/>
      <c r="C42" s="58"/>
      <c r="D42" s="57"/>
      <c r="E42" s="57"/>
      <c r="F42" s="57"/>
      <c r="G42" s="57"/>
      <c r="H42" s="57"/>
      <c r="I42" s="57"/>
      <c r="J42" s="57"/>
      <c r="K42" s="58"/>
      <c r="L42" s="57"/>
      <c r="M42" s="57"/>
      <c r="N42" s="59"/>
      <c r="O42" s="60">
        <f t="shared" si="0"/>
        <v>0</v>
      </c>
      <c r="P42" s="60">
        <f t="shared" si="1"/>
        <v>0</v>
      </c>
    </row>
    <row r="43" spans="1:17">
      <c r="A43" s="78"/>
      <c r="B43" s="57"/>
      <c r="C43" s="58"/>
      <c r="D43" s="57"/>
      <c r="E43" s="57"/>
      <c r="F43" s="57"/>
      <c r="G43" s="57"/>
      <c r="H43" s="57"/>
      <c r="I43" s="57"/>
      <c r="J43" s="57"/>
      <c r="K43" s="58"/>
      <c r="L43" s="57"/>
      <c r="M43" s="57"/>
      <c r="N43" s="59"/>
      <c r="O43" s="60">
        <f t="shared" si="0"/>
        <v>0</v>
      </c>
      <c r="P43" s="60">
        <f t="shared" si="1"/>
        <v>0</v>
      </c>
    </row>
    <row r="44" spans="1:17">
      <c r="A44" s="78"/>
      <c r="B44" s="57"/>
      <c r="C44" s="58"/>
      <c r="D44" s="57"/>
      <c r="E44" s="57"/>
      <c r="F44" s="57"/>
      <c r="G44" s="57"/>
      <c r="H44" s="57"/>
      <c r="I44" s="57"/>
      <c r="J44" s="57"/>
      <c r="K44" s="58"/>
      <c r="L44" s="57"/>
      <c r="M44" s="57"/>
      <c r="N44" s="59"/>
      <c r="O44" s="60">
        <f t="shared" si="0"/>
        <v>0</v>
      </c>
      <c r="P44" s="60">
        <f t="shared" si="1"/>
        <v>0</v>
      </c>
    </row>
    <row r="45" spans="1:17">
      <c r="A45" s="78"/>
      <c r="B45" s="57"/>
      <c r="C45" s="58"/>
      <c r="D45" s="57"/>
      <c r="E45" s="57"/>
      <c r="F45" s="57"/>
      <c r="G45" s="57"/>
      <c r="H45" s="57"/>
      <c r="I45" s="57"/>
      <c r="J45" s="57"/>
      <c r="K45" s="58"/>
      <c r="L45" s="57"/>
      <c r="M45" s="57"/>
      <c r="N45" s="59"/>
      <c r="O45" s="60">
        <f t="shared" si="0"/>
        <v>0</v>
      </c>
      <c r="P45" s="60">
        <f t="shared" si="1"/>
        <v>0</v>
      </c>
    </row>
    <row r="46" spans="1:17">
      <c r="A46" s="78"/>
      <c r="B46" s="57"/>
      <c r="C46" s="58"/>
      <c r="D46" s="57"/>
      <c r="E46" s="57"/>
      <c r="F46" s="57"/>
      <c r="G46" s="57"/>
      <c r="H46" s="57"/>
      <c r="I46" s="57"/>
      <c r="J46" s="57"/>
      <c r="K46" s="58"/>
      <c r="L46" s="57"/>
      <c r="M46" s="57"/>
      <c r="N46" s="59"/>
      <c r="O46" s="60">
        <f t="shared" si="0"/>
        <v>0</v>
      </c>
      <c r="P46" s="60">
        <f t="shared" si="1"/>
        <v>0</v>
      </c>
    </row>
    <row r="47" spans="1:17" s="67" customFormat="1" ht="13.5" thickBot="1">
      <c r="A47" s="79"/>
      <c r="B47" s="63"/>
      <c r="C47" s="64"/>
      <c r="D47" s="63"/>
      <c r="E47" s="63"/>
      <c r="F47" s="63"/>
      <c r="G47" s="63"/>
      <c r="H47" s="63"/>
      <c r="I47" s="63"/>
      <c r="J47" s="63"/>
      <c r="K47" s="64"/>
      <c r="L47" s="63"/>
      <c r="M47" s="63"/>
      <c r="N47" s="65"/>
      <c r="O47" s="60">
        <f t="shared" si="0"/>
        <v>0</v>
      </c>
      <c r="P47" s="60">
        <f t="shared" si="1"/>
        <v>0</v>
      </c>
      <c r="Q47" s="66"/>
    </row>
    <row r="48" spans="1:17" s="44" customFormat="1">
      <c r="A48" s="38"/>
      <c r="B48" s="39" t="s">
        <v>158</v>
      </c>
      <c r="C48" s="40"/>
      <c r="D48" s="39" t="s">
        <v>159</v>
      </c>
      <c r="E48" s="41"/>
      <c r="F48" s="41"/>
      <c r="G48" s="41"/>
      <c r="H48" s="41"/>
      <c r="I48" s="41"/>
      <c r="J48" s="41"/>
      <c r="K48" s="40"/>
      <c r="L48" s="39" t="s">
        <v>160</v>
      </c>
      <c r="M48" s="41"/>
      <c r="N48" s="42"/>
      <c r="O48" s="60">
        <f t="shared" si="0"/>
        <v>0</v>
      </c>
      <c r="P48" s="60">
        <f t="shared" si="1"/>
        <v>0</v>
      </c>
      <c r="Q48" s="43"/>
    </row>
    <row r="49" spans="1:17" s="44" customFormat="1" ht="13.5" thickBot="1">
      <c r="A49" s="45" t="s">
        <v>161</v>
      </c>
      <c r="B49" s="46" t="str">
        <f>B3</f>
        <v>Kumar-C</v>
      </c>
      <c r="C49" s="46" t="str">
        <f t="shared" ref="C49:M49" si="2">C3</f>
        <v>Selvaraj-C</v>
      </c>
      <c r="D49" s="46" t="str">
        <f t="shared" si="2"/>
        <v>Kumar</v>
      </c>
      <c r="E49" s="46" t="str">
        <f t="shared" si="2"/>
        <v>Selvaraj</v>
      </c>
      <c r="F49" s="46" t="str">
        <f t="shared" si="2"/>
        <v>Rathinam</v>
      </c>
      <c r="G49" s="46" t="str">
        <f t="shared" si="2"/>
        <v>Kanagraj</v>
      </c>
      <c r="H49" s="46" t="str">
        <f t="shared" si="2"/>
        <v>Loganathan</v>
      </c>
      <c r="I49" s="46" t="str">
        <f t="shared" si="2"/>
        <v>Marshall</v>
      </c>
      <c r="J49" s="46" t="str">
        <f t="shared" si="2"/>
        <v>Sathish</v>
      </c>
      <c r="K49" s="46" t="str">
        <f t="shared" si="2"/>
        <v>[Tailor]</v>
      </c>
      <c r="L49" s="46" t="str">
        <f t="shared" si="2"/>
        <v>HW1</v>
      </c>
      <c r="M49" s="46" t="str">
        <f t="shared" si="2"/>
        <v>HW 2</v>
      </c>
      <c r="N49" s="46" t="str">
        <f>N3</f>
        <v>HW 3</v>
      </c>
      <c r="O49" s="60">
        <f t="shared" si="0"/>
        <v>0</v>
      </c>
      <c r="P49" s="60">
        <f t="shared" si="1"/>
        <v>0</v>
      </c>
      <c r="Q49" s="43"/>
    </row>
    <row r="50" spans="1:17" s="55" customFormat="1">
      <c r="A50" s="50" t="s">
        <v>179</v>
      </c>
      <c r="B50" s="51">
        <f>B4+4</f>
        <v>40225</v>
      </c>
      <c r="C50" s="52"/>
      <c r="D50" s="53"/>
      <c r="E50" s="53"/>
      <c r="F50" s="53"/>
      <c r="G50" s="53"/>
      <c r="H50" s="53"/>
      <c r="I50" s="53"/>
      <c r="J50" s="53"/>
      <c r="K50" s="52"/>
      <c r="L50" s="53"/>
      <c r="M50" s="53"/>
      <c r="N50" s="54"/>
      <c r="O50" s="60"/>
      <c r="P50" s="60">
        <f t="shared" si="1"/>
        <v>0</v>
      </c>
      <c r="Q50" s="37"/>
    </row>
    <row r="51" spans="1:17">
      <c r="A51" s="78"/>
      <c r="B51" s="57"/>
      <c r="C51" s="58"/>
      <c r="D51" s="57"/>
      <c r="E51" s="57"/>
      <c r="F51" s="57"/>
      <c r="G51" s="57"/>
      <c r="H51" s="57"/>
      <c r="I51" s="57"/>
      <c r="J51" s="57"/>
      <c r="K51" s="58"/>
      <c r="L51" s="57"/>
      <c r="M51" s="57"/>
      <c r="N51" s="59"/>
      <c r="O51" s="60">
        <f t="shared" si="0"/>
        <v>0</v>
      </c>
      <c r="P51" s="60">
        <f t="shared" si="1"/>
        <v>0</v>
      </c>
    </row>
    <row r="52" spans="1:17">
      <c r="A52" s="78"/>
      <c r="B52" s="57"/>
      <c r="C52" s="58"/>
      <c r="D52" s="57"/>
      <c r="E52" s="57"/>
      <c r="F52" s="57"/>
      <c r="G52" s="57"/>
      <c r="H52" s="57"/>
      <c r="I52" s="57"/>
      <c r="J52" s="57"/>
      <c r="K52" s="58"/>
      <c r="L52" s="57"/>
      <c r="M52" s="57"/>
      <c r="N52" s="59"/>
      <c r="O52" s="60">
        <f t="shared" si="0"/>
        <v>0</v>
      </c>
      <c r="P52" s="60">
        <f t="shared" si="1"/>
        <v>0</v>
      </c>
    </row>
    <row r="53" spans="1:17">
      <c r="A53" s="78"/>
      <c r="B53" s="57"/>
      <c r="C53" s="58"/>
      <c r="D53" s="57"/>
      <c r="E53" s="57"/>
      <c r="F53" s="57"/>
      <c r="G53" s="57"/>
      <c r="H53" s="57"/>
      <c r="I53" s="57"/>
      <c r="J53" s="57"/>
      <c r="K53" s="58"/>
      <c r="L53" s="57"/>
      <c r="M53" s="57"/>
      <c r="N53" s="59"/>
      <c r="O53" s="60">
        <f t="shared" si="0"/>
        <v>0</v>
      </c>
      <c r="P53" s="60">
        <f t="shared" si="1"/>
        <v>0</v>
      </c>
    </row>
    <row r="54" spans="1:17">
      <c r="A54" s="78"/>
      <c r="B54" s="57"/>
      <c r="C54" s="58"/>
      <c r="D54" s="57"/>
      <c r="E54" s="57"/>
      <c r="F54" s="57"/>
      <c r="G54" s="57"/>
      <c r="H54" s="57"/>
      <c r="I54" s="57"/>
      <c r="J54" s="57"/>
      <c r="K54" s="58"/>
      <c r="L54" s="57"/>
      <c r="M54" s="57"/>
      <c r="N54" s="59"/>
      <c r="O54" s="60">
        <f t="shared" si="0"/>
        <v>0</v>
      </c>
      <c r="P54" s="60">
        <f t="shared" si="1"/>
        <v>0</v>
      </c>
    </row>
    <row r="55" spans="1:17">
      <c r="A55" s="78"/>
      <c r="B55" s="57"/>
      <c r="C55" s="58"/>
      <c r="D55" s="57"/>
      <c r="E55" s="57"/>
      <c r="F55" s="57"/>
      <c r="G55" s="57"/>
      <c r="H55" s="57"/>
      <c r="I55" s="57"/>
      <c r="J55" s="57"/>
      <c r="K55" s="58"/>
      <c r="L55" s="57"/>
      <c r="M55" s="57"/>
      <c r="N55" s="59"/>
      <c r="O55" s="60">
        <f t="shared" si="0"/>
        <v>0</v>
      </c>
      <c r="P55" s="60">
        <f t="shared" si="1"/>
        <v>0</v>
      </c>
    </row>
    <row r="56" spans="1:17">
      <c r="A56" s="78"/>
      <c r="B56" s="57"/>
      <c r="C56" s="58"/>
      <c r="D56" s="57"/>
      <c r="E56" s="57"/>
      <c r="F56" s="57"/>
      <c r="G56" s="57"/>
      <c r="H56" s="57"/>
      <c r="I56" s="57"/>
      <c r="J56" s="57"/>
      <c r="K56" s="58"/>
      <c r="L56" s="57"/>
      <c r="M56" s="57"/>
      <c r="N56" s="59"/>
      <c r="O56" s="60">
        <f t="shared" si="0"/>
        <v>0</v>
      </c>
      <c r="P56" s="60">
        <f t="shared" si="1"/>
        <v>0</v>
      </c>
    </row>
    <row r="57" spans="1:17">
      <c r="A57" s="78"/>
      <c r="B57" s="57"/>
      <c r="C57" s="58"/>
      <c r="D57" s="57"/>
      <c r="E57" s="57"/>
      <c r="F57" s="57"/>
      <c r="G57" s="57"/>
      <c r="H57" s="57"/>
      <c r="I57" s="57"/>
      <c r="J57" s="57"/>
      <c r="K57" s="58"/>
      <c r="L57" s="57"/>
      <c r="M57" s="57"/>
      <c r="N57" s="59"/>
      <c r="O57" s="60">
        <f t="shared" si="0"/>
        <v>0</v>
      </c>
      <c r="P57" s="60">
        <f t="shared" si="1"/>
        <v>0</v>
      </c>
    </row>
    <row r="58" spans="1:17">
      <c r="A58" s="78"/>
      <c r="B58" s="57"/>
      <c r="C58" s="58"/>
      <c r="D58" s="57"/>
      <c r="E58" s="57"/>
      <c r="F58" s="57"/>
      <c r="G58" s="57"/>
      <c r="H58" s="57"/>
      <c r="I58" s="57"/>
      <c r="J58" s="57"/>
      <c r="K58" s="58"/>
      <c r="L58" s="57"/>
      <c r="M58" s="57"/>
      <c r="N58" s="59"/>
      <c r="O58" s="60">
        <f t="shared" si="0"/>
        <v>0</v>
      </c>
      <c r="P58" s="60">
        <f t="shared" si="1"/>
        <v>0</v>
      </c>
    </row>
    <row r="59" spans="1:17">
      <c r="A59" s="78"/>
      <c r="B59" s="57"/>
      <c r="C59" s="58"/>
      <c r="D59" s="57"/>
      <c r="E59" s="57"/>
      <c r="F59" s="57"/>
      <c r="G59" s="57"/>
      <c r="H59" s="57"/>
      <c r="I59" s="57"/>
      <c r="J59" s="57"/>
      <c r="K59" s="58"/>
      <c r="L59" s="57"/>
      <c r="M59" s="57"/>
      <c r="N59" s="59"/>
      <c r="O59" s="60">
        <f t="shared" si="0"/>
        <v>0</v>
      </c>
      <c r="P59" s="60">
        <f t="shared" si="1"/>
        <v>0</v>
      </c>
    </row>
    <row r="60" spans="1:17" s="67" customFormat="1" ht="13.5" thickBot="1">
      <c r="A60" s="79"/>
      <c r="B60" s="63"/>
      <c r="C60" s="64"/>
      <c r="D60" s="63"/>
      <c r="E60" s="63"/>
      <c r="F60" s="63"/>
      <c r="G60" s="63"/>
      <c r="H60" s="63"/>
      <c r="I60" s="63"/>
      <c r="J60" s="63"/>
      <c r="K60" s="64"/>
      <c r="L60" s="63"/>
      <c r="M60" s="63"/>
      <c r="N60" s="65"/>
      <c r="O60" s="60">
        <f t="shared" si="0"/>
        <v>0</v>
      </c>
      <c r="P60" s="60">
        <f t="shared" si="1"/>
        <v>0</v>
      </c>
      <c r="Q60" s="66"/>
    </row>
    <row r="61" spans="1:17" s="55" customFormat="1">
      <c r="A61" s="81" t="s">
        <v>180</v>
      </c>
      <c r="B61" s="82">
        <f>B4+5</f>
        <v>40226</v>
      </c>
      <c r="C61" s="83"/>
      <c r="D61" s="84"/>
      <c r="E61" s="84"/>
      <c r="F61" s="84"/>
      <c r="G61" s="84"/>
      <c r="H61" s="84"/>
      <c r="I61" s="84"/>
      <c r="J61" s="84"/>
      <c r="K61" s="83"/>
      <c r="L61" s="84"/>
      <c r="M61" s="84"/>
      <c r="N61" s="85"/>
      <c r="O61" s="60"/>
      <c r="P61" s="60">
        <f t="shared" si="1"/>
        <v>0</v>
      </c>
      <c r="Q61" s="37"/>
    </row>
    <row r="62" spans="1:17">
      <c r="A62" s="78"/>
      <c r="B62" s="57"/>
      <c r="C62" s="58"/>
      <c r="D62" s="57"/>
      <c r="E62" s="57"/>
      <c r="F62" s="57"/>
      <c r="G62" s="57"/>
      <c r="H62" s="57"/>
      <c r="I62" s="57"/>
      <c r="J62" s="57"/>
      <c r="K62" s="58"/>
      <c r="L62" s="57"/>
      <c r="M62" s="57"/>
      <c r="N62" s="59"/>
      <c r="O62" s="60">
        <f t="shared" si="0"/>
        <v>0</v>
      </c>
      <c r="P62" s="60">
        <f t="shared" si="1"/>
        <v>0</v>
      </c>
    </row>
    <row r="63" spans="1:17">
      <c r="A63" s="78"/>
      <c r="B63" s="57"/>
      <c r="C63" s="58"/>
      <c r="D63" s="57"/>
      <c r="E63" s="57"/>
      <c r="F63" s="57"/>
      <c r="G63" s="57"/>
      <c r="H63" s="57"/>
      <c r="I63" s="57"/>
      <c r="J63" s="57"/>
      <c r="K63" s="58"/>
      <c r="L63" s="57"/>
      <c r="M63" s="57"/>
      <c r="N63" s="59"/>
      <c r="O63" s="60">
        <f t="shared" si="0"/>
        <v>0</v>
      </c>
      <c r="P63" s="60">
        <f t="shared" si="1"/>
        <v>0</v>
      </c>
    </row>
    <row r="64" spans="1:17">
      <c r="A64" s="78"/>
      <c r="B64" s="57"/>
      <c r="C64" s="58"/>
      <c r="D64" s="57"/>
      <c r="E64" s="57"/>
      <c r="F64" s="57"/>
      <c r="G64" s="57"/>
      <c r="H64" s="57"/>
      <c r="I64" s="57"/>
      <c r="J64" s="57"/>
      <c r="K64" s="58"/>
      <c r="L64" s="57"/>
      <c r="M64" s="57"/>
      <c r="N64" s="59"/>
      <c r="O64" s="60">
        <f t="shared" si="0"/>
        <v>0</v>
      </c>
      <c r="P64" s="60">
        <f t="shared" si="1"/>
        <v>0</v>
      </c>
    </row>
    <row r="65" spans="1:17">
      <c r="A65" s="78"/>
      <c r="B65" s="57"/>
      <c r="C65" s="58"/>
      <c r="D65" s="57"/>
      <c r="E65" s="57"/>
      <c r="F65" s="57"/>
      <c r="G65" s="57"/>
      <c r="H65" s="57"/>
      <c r="I65" s="57"/>
      <c r="J65" s="57"/>
      <c r="K65" s="58"/>
      <c r="L65" s="57"/>
      <c r="M65" s="57"/>
      <c r="N65" s="59"/>
      <c r="O65" s="60">
        <f t="shared" si="0"/>
        <v>0</v>
      </c>
      <c r="P65" s="60">
        <f t="shared" si="1"/>
        <v>0</v>
      </c>
    </row>
    <row r="66" spans="1:17">
      <c r="A66" s="78"/>
      <c r="B66" s="57"/>
      <c r="C66" s="58"/>
      <c r="D66" s="57"/>
      <c r="E66" s="57"/>
      <c r="F66" s="57"/>
      <c r="G66" s="57"/>
      <c r="H66" s="57"/>
      <c r="I66" s="57"/>
      <c r="J66" s="57"/>
      <c r="K66" s="58"/>
      <c r="L66" s="57"/>
      <c r="M66" s="57"/>
      <c r="N66" s="59"/>
      <c r="O66" s="60">
        <f t="shared" si="0"/>
        <v>0</v>
      </c>
      <c r="P66" s="60">
        <f t="shared" si="1"/>
        <v>0</v>
      </c>
    </row>
    <row r="67" spans="1:17">
      <c r="A67" s="78"/>
      <c r="B67" s="57"/>
      <c r="C67" s="58"/>
      <c r="D67" s="57"/>
      <c r="E67" s="57"/>
      <c r="F67" s="57"/>
      <c r="G67" s="57"/>
      <c r="H67" s="57"/>
      <c r="I67" s="57"/>
      <c r="J67" s="57"/>
      <c r="K67" s="58"/>
      <c r="L67" s="57"/>
      <c r="M67" s="57"/>
      <c r="N67" s="59"/>
      <c r="O67" s="60">
        <f t="shared" si="0"/>
        <v>0</v>
      </c>
      <c r="P67" s="60">
        <f t="shared" si="1"/>
        <v>0</v>
      </c>
    </row>
    <row r="68" spans="1:17">
      <c r="A68" s="78"/>
      <c r="B68" s="57"/>
      <c r="C68" s="58"/>
      <c r="D68" s="57"/>
      <c r="E68" s="57"/>
      <c r="F68" s="57"/>
      <c r="G68" s="57"/>
      <c r="H68" s="57"/>
      <c r="I68" s="57"/>
      <c r="J68" s="57"/>
      <c r="K68" s="58"/>
      <c r="L68" s="57"/>
      <c r="M68" s="57"/>
      <c r="N68" s="59"/>
      <c r="O68" s="60">
        <f t="shared" si="0"/>
        <v>0</v>
      </c>
      <c r="P68" s="60">
        <f t="shared" si="1"/>
        <v>0</v>
      </c>
    </row>
    <row r="69" spans="1:17">
      <c r="A69" s="78"/>
      <c r="B69" s="57"/>
      <c r="C69" s="58"/>
      <c r="D69" s="57"/>
      <c r="E69" s="57"/>
      <c r="F69" s="57"/>
      <c r="G69" s="57"/>
      <c r="H69" s="57"/>
      <c r="I69" s="57"/>
      <c r="J69" s="57"/>
      <c r="K69" s="58"/>
      <c r="L69" s="57"/>
      <c r="M69" s="57"/>
      <c r="N69" s="59"/>
      <c r="O69" s="60">
        <f t="shared" si="0"/>
        <v>0</v>
      </c>
      <c r="P69" s="60">
        <f t="shared" si="1"/>
        <v>0</v>
      </c>
    </row>
    <row r="70" spans="1:17">
      <c r="A70" s="78"/>
      <c r="B70" s="57"/>
      <c r="C70" s="58"/>
      <c r="D70" s="57"/>
      <c r="E70" s="57"/>
      <c r="F70" s="57"/>
      <c r="G70" s="57"/>
      <c r="H70" s="57"/>
      <c r="I70" s="57"/>
      <c r="J70" s="57"/>
      <c r="K70" s="58"/>
      <c r="L70" s="57"/>
      <c r="M70" s="57"/>
      <c r="N70" s="59"/>
      <c r="O70" s="60">
        <f t="shared" ref="O70:O82" si="3">SUM(B70:C70)</f>
        <v>0</v>
      </c>
      <c r="P70" s="60">
        <f t="shared" ref="P70:P82" si="4">SUM(D70:N70)</f>
        <v>0</v>
      </c>
    </row>
    <row r="71" spans="1:17" s="67" customFormat="1" ht="13.5" thickBot="1">
      <c r="A71" s="79"/>
      <c r="B71" s="63"/>
      <c r="C71" s="64"/>
      <c r="D71" s="63"/>
      <c r="E71" s="63"/>
      <c r="F71" s="63"/>
      <c r="G71" s="63"/>
      <c r="H71" s="63"/>
      <c r="I71" s="63"/>
      <c r="J71" s="63"/>
      <c r="K71" s="64"/>
      <c r="L71" s="63"/>
      <c r="M71" s="63"/>
      <c r="N71" s="65"/>
      <c r="O71" s="60">
        <f t="shared" si="3"/>
        <v>0</v>
      </c>
      <c r="P71" s="60">
        <f t="shared" si="4"/>
        <v>0</v>
      </c>
      <c r="Q71" s="66"/>
    </row>
    <row r="72" spans="1:17" s="55" customFormat="1">
      <c r="A72" s="50" t="s">
        <v>181</v>
      </c>
      <c r="B72" s="82">
        <f>B4+6</f>
        <v>40227</v>
      </c>
      <c r="C72" s="86"/>
      <c r="D72" s="80"/>
      <c r="E72" s="80"/>
      <c r="F72" s="80"/>
      <c r="G72" s="80"/>
      <c r="H72" s="80"/>
      <c r="I72" s="80"/>
      <c r="J72" s="80"/>
      <c r="K72" s="87"/>
      <c r="L72" s="80"/>
      <c r="M72" s="80"/>
      <c r="N72" s="54"/>
      <c r="O72" s="60"/>
      <c r="P72" s="60">
        <f t="shared" si="4"/>
        <v>0</v>
      </c>
      <c r="Q72" s="37"/>
    </row>
    <row r="73" spans="1:17">
      <c r="A73" s="78"/>
      <c r="B73" s="57"/>
      <c r="C73" s="58"/>
      <c r="D73" s="57"/>
      <c r="E73" s="57"/>
      <c r="F73" s="57"/>
      <c r="G73" s="57"/>
      <c r="H73" s="57"/>
      <c r="I73" s="57"/>
      <c r="J73" s="57"/>
      <c r="K73" s="58"/>
      <c r="L73" s="57"/>
      <c r="M73" s="57"/>
      <c r="N73" s="59"/>
      <c r="O73" s="60">
        <f t="shared" si="3"/>
        <v>0</v>
      </c>
      <c r="P73" s="60">
        <f t="shared" si="4"/>
        <v>0</v>
      </c>
    </row>
    <row r="74" spans="1:17">
      <c r="A74" s="78"/>
      <c r="B74" s="57"/>
      <c r="C74" s="58"/>
      <c r="D74" s="57"/>
      <c r="E74" s="57"/>
      <c r="F74" s="57"/>
      <c r="G74" s="57"/>
      <c r="H74" s="57"/>
      <c r="I74" s="57"/>
      <c r="J74" s="57"/>
      <c r="K74" s="58"/>
      <c r="L74" s="57"/>
      <c r="M74" s="57"/>
      <c r="N74" s="59"/>
      <c r="O74" s="60">
        <f t="shared" si="3"/>
        <v>0</v>
      </c>
      <c r="P74" s="60">
        <f t="shared" si="4"/>
        <v>0</v>
      </c>
    </row>
    <row r="75" spans="1:17">
      <c r="A75" s="78"/>
      <c r="B75" s="57"/>
      <c r="C75" s="58"/>
      <c r="D75" s="57"/>
      <c r="E75" s="57"/>
      <c r="F75" s="57"/>
      <c r="G75" s="57"/>
      <c r="H75" s="57"/>
      <c r="I75" s="57"/>
      <c r="J75" s="57"/>
      <c r="K75" s="58"/>
      <c r="L75" s="57"/>
      <c r="M75" s="57"/>
      <c r="N75" s="59"/>
      <c r="O75" s="60">
        <f t="shared" si="3"/>
        <v>0</v>
      </c>
      <c r="P75" s="60">
        <f t="shared" si="4"/>
        <v>0</v>
      </c>
    </row>
    <row r="76" spans="1:17">
      <c r="A76" s="78"/>
      <c r="B76" s="57"/>
      <c r="C76" s="58"/>
      <c r="D76" s="57"/>
      <c r="E76" s="57"/>
      <c r="F76" s="57"/>
      <c r="G76" s="57"/>
      <c r="H76" s="57"/>
      <c r="I76" s="57"/>
      <c r="J76" s="57"/>
      <c r="K76" s="58"/>
      <c r="L76" s="57"/>
      <c r="M76" s="57"/>
      <c r="N76" s="59"/>
      <c r="O76" s="60">
        <f t="shared" si="3"/>
        <v>0</v>
      </c>
      <c r="P76" s="60">
        <f t="shared" si="4"/>
        <v>0</v>
      </c>
    </row>
    <row r="77" spans="1:17">
      <c r="A77" s="78"/>
      <c r="B77" s="57"/>
      <c r="C77" s="58"/>
      <c r="D77" s="57"/>
      <c r="E77" s="57"/>
      <c r="F77" s="57"/>
      <c r="G77" s="57"/>
      <c r="H77" s="57"/>
      <c r="I77" s="57"/>
      <c r="J77" s="57"/>
      <c r="K77" s="58"/>
      <c r="L77" s="57"/>
      <c r="M77" s="57"/>
      <c r="N77" s="59"/>
      <c r="O77" s="60">
        <f t="shared" si="3"/>
        <v>0</v>
      </c>
      <c r="P77" s="60">
        <f t="shared" si="4"/>
        <v>0</v>
      </c>
    </row>
    <row r="78" spans="1:17">
      <c r="A78" s="78"/>
      <c r="B78" s="57"/>
      <c r="C78" s="58"/>
      <c r="D78" s="57"/>
      <c r="E78" s="57"/>
      <c r="F78" s="57"/>
      <c r="G78" s="57"/>
      <c r="H78" s="57"/>
      <c r="I78" s="57"/>
      <c r="J78" s="57"/>
      <c r="K78" s="58"/>
      <c r="L78" s="57"/>
      <c r="M78" s="57"/>
      <c r="N78" s="59"/>
      <c r="O78" s="60">
        <f t="shared" si="3"/>
        <v>0</v>
      </c>
      <c r="P78" s="60">
        <f t="shared" si="4"/>
        <v>0</v>
      </c>
    </row>
    <row r="79" spans="1:17">
      <c r="A79" s="78"/>
      <c r="B79" s="57"/>
      <c r="C79" s="58"/>
      <c r="D79" s="57"/>
      <c r="E79" s="57"/>
      <c r="F79" s="57"/>
      <c r="G79" s="57"/>
      <c r="H79" s="57"/>
      <c r="I79" s="57"/>
      <c r="J79" s="57"/>
      <c r="K79" s="58"/>
      <c r="L79" s="57"/>
      <c r="M79" s="57"/>
      <c r="N79" s="59"/>
      <c r="O79" s="60">
        <f t="shared" si="3"/>
        <v>0</v>
      </c>
      <c r="P79" s="60">
        <f t="shared" si="4"/>
        <v>0</v>
      </c>
    </row>
    <row r="80" spans="1:17">
      <c r="A80" s="78"/>
      <c r="B80" s="57"/>
      <c r="C80" s="58"/>
      <c r="D80" s="57"/>
      <c r="E80" s="57"/>
      <c r="F80" s="57"/>
      <c r="G80" s="57"/>
      <c r="H80" s="57"/>
      <c r="I80" s="57"/>
      <c r="J80" s="57"/>
      <c r="K80" s="58"/>
      <c r="L80" s="57"/>
      <c r="M80" s="57"/>
      <c r="N80" s="59"/>
      <c r="O80" s="60">
        <f t="shared" si="3"/>
        <v>0</v>
      </c>
      <c r="P80" s="60">
        <f t="shared" si="4"/>
        <v>0</v>
      </c>
    </row>
    <row r="81" spans="1:17">
      <c r="A81" s="78"/>
      <c r="B81" s="57"/>
      <c r="C81" s="58"/>
      <c r="D81" s="57"/>
      <c r="E81" s="57"/>
      <c r="F81" s="57"/>
      <c r="G81" s="57"/>
      <c r="H81" s="57"/>
      <c r="I81" s="57"/>
      <c r="J81" s="57"/>
      <c r="K81" s="58"/>
      <c r="L81" s="57"/>
      <c r="M81" s="57"/>
      <c r="N81" s="59"/>
      <c r="O81" s="60">
        <f t="shared" si="3"/>
        <v>0</v>
      </c>
      <c r="P81" s="60">
        <f t="shared" si="4"/>
        <v>0</v>
      </c>
    </row>
    <row r="82" spans="1:17" s="67" customFormat="1" ht="13.5" thickBot="1">
      <c r="A82" s="79"/>
      <c r="B82" s="63"/>
      <c r="C82" s="64"/>
      <c r="D82" s="63"/>
      <c r="E82" s="63"/>
      <c r="F82" s="63"/>
      <c r="G82" s="63"/>
      <c r="H82" s="63"/>
      <c r="I82" s="63"/>
      <c r="J82" s="63"/>
      <c r="K82" s="64"/>
      <c r="L82" s="63"/>
      <c r="M82" s="63"/>
      <c r="N82" s="65"/>
      <c r="O82" s="60">
        <f t="shared" si="3"/>
        <v>0</v>
      </c>
      <c r="P82" s="60">
        <f t="shared" si="4"/>
        <v>0</v>
      </c>
      <c r="Q82" s="66"/>
    </row>
    <row r="83" spans="1:17" ht="13.5" thickBot="1"/>
    <row r="84" spans="1:17" ht="13.5" thickBot="1">
      <c r="A84" s="88" t="s">
        <v>182</v>
      </c>
      <c r="B84" s="89"/>
      <c r="C84" s="90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</row>
    <row r="85" spans="1:17" s="44" customFormat="1" ht="13.5" thickBot="1">
      <c r="A85" s="91" t="s">
        <v>183</v>
      </c>
      <c r="B85" s="92" t="str">
        <f>B3</f>
        <v>Kumar-C</v>
      </c>
      <c r="C85" s="92" t="str">
        <f t="shared" ref="C85:N85" si="5">C3</f>
        <v>Selvaraj-C</v>
      </c>
      <c r="D85" s="92" t="str">
        <f t="shared" si="5"/>
        <v>Kumar</v>
      </c>
      <c r="E85" s="92" t="str">
        <f t="shared" si="5"/>
        <v>Selvaraj</v>
      </c>
      <c r="F85" s="92" t="str">
        <f t="shared" si="5"/>
        <v>Rathinam</v>
      </c>
      <c r="G85" s="92" t="str">
        <f t="shared" si="5"/>
        <v>Kanagraj</v>
      </c>
      <c r="H85" s="92" t="str">
        <f t="shared" si="5"/>
        <v>Loganathan</v>
      </c>
      <c r="I85" s="92" t="str">
        <f t="shared" si="5"/>
        <v>Marshall</v>
      </c>
      <c r="J85" s="92" t="str">
        <f t="shared" si="5"/>
        <v>Sathish</v>
      </c>
      <c r="K85" s="92" t="str">
        <f t="shared" si="5"/>
        <v>[Tailor]</v>
      </c>
      <c r="L85" s="92" t="str">
        <f t="shared" si="5"/>
        <v>HW1</v>
      </c>
      <c r="M85" s="92" t="str">
        <f t="shared" si="5"/>
        <v>HW 2</v>
      </c>
      <c r="N85" s="92" t="str">
        <f t="shared" si="5"/>
        <v>HW 3</v>
      </c>
      <c r="O85" s="43"/>
      <c r="P85" s="43"/>
      <c r="Q85" s="43"/>
    </row>
    <row r="86" spans="1:17">
      <c r="A86" s="93" t="s">
        <v>134</v>
      </c>
      <c r="B86" s="94"/>
      <c r="C86" s="95"/>
      <c r="D86" s="94"/>
      <c r="E86" s="95"/>
      <c r="F86" s="95"/>
      <c r="G86" s="94"/>
      <c r="H86" s="95"/>
      <c r="I86" s="95"/>
      <c r="J86" s="94"/>
      <c r="K86" s="94"/>
      <c r="L86" s="94"/>
      <c r="M86" s="94"/>
      <c r="N86" s="94"/>
    </row>
    <row r="87" spans="1:17">
      <c r="A87" s="96" t="s">
        <v>184</v>
      </c>
      <c r="B87" s="97">
        <v>0</v>
      </c>
      <c r="C87" s="97">
        <v>0</v>
      </c>
      <c r="D87" s="97">
        <v>0</v>
      </c>
      <c r="E87" s="97">
        <v>0</v>
      </c>
      <c r="F87" s="97">
        <v>0</v>
      </c>
      <c r="G87" s="97">
        <v>0</v>
      </c>
      <c r="H87" s="97">
        <v>0</v>
      </c>
      <c r="I87" s="97">
        <v>0</v>
      </c>
      <c r="J87" s="97">
        <v>0</v>
      </c>
      <c r="K87" s="97">
        <v>0</v>
      </c>
      <c r="L87" s="97">
        <v>0</v>
      </c>
      <c r="M87" s="97">
        <v>0</v>
      </c>
      <c r="N87" s="97">
        <v>0</v>
      </c>
    </row>
    <row r="88" spans="1:17">
      <c r="C88" s="98"/>
    </row>
    <row r="89" spans="1:17" ht="13.5" thickBot="1">
      <c r="A89" s="99"/>
      <c r="B89" s="100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</row>
    <row r="90" spans="1:17" ht="16.5" thickBot="1">
      <c r="A90" s="101" t="s">
        <v>185</v>
      </c>
      <c r="B90" s="102"/>
      <c r="C90" s="103"/>
      <c r="D90"/>
      <c r="E90"/>
      <c r="F90"/>
      <c r="G90" s="104"/>
      <c r="H90"/>
      <c r="I90"/>
      <c r="J90"/>
      <c r="K90"/>
      <c r="L90"/>
      <c r="M90"/>
      <c r="N90"/>
      <c r="O90" s="105"/>
    </row>
    <row r="91" spans="1:17" ht="14.25" thickTop="1" thickBot="1">
      <c r="A91" s="106" t="s">
        <v>161</v>
      </c>
      <c r="B91" s="106" t="str">
        <f>B3</f>
        <v>Kumar-C</v>
      </c>
      <c r="C91" s="106" t="str">
        <f t="shared" ref="C91:N91" si="6">C3</f>
        <v>Selvaraj-C</v>
      </c>
      <c r="D91" s="106" t="str">
        <f t="shared" si="6"/>
        <v>Kumar</v>
      </c>
      <c r="E91" s="106" t="str">
        <f t="shared" si="6"/>
        <v>Selvaraj</v>
      </c>
      <c r="F91" s="106" t="str">
        <f t="shared" si="6"/>
        <v>Rathinam</v>
      </c>
      <c r="G91" s="106" t="str">
        <f t="shared" si="6"/>
        <v>Kanagraj</v>
      </c>
      <c r="H91" s="106" t="str">
        <f t="shared" si="6"/>
        <v>Loganathan</v>
      </c>
      <c r="I91" s="106" t="str">
        <f t="shared" si="6"/>
        <v>Marshall</v>
      </c>
      <c r="J91" s="106" t="str">
        <f t="shared" si="6"/>
        <v>Sathish</v>
      </c>
      <c r="K91" s="106" t="str">
        <f t="shared" si="6"/>
        <v>[Tailor]</v>
      </c>
      <c r="L91" s="106" t="str">
        <f t="shared" si="6"/>
        <v>HW1</v>
      </c>
      <c r="M91" s="106" t="str">
        <f t="shared" si="6"/>
        <v>HW 2</v>
      </c>
      <c r="N91" s="106" t="str">
        <f t="shared" si="6"/>
        <v>HW 3</v>
      </c>
      <c r="O91" s="107"/>
    </row>
    <row r="92" spans="1:17" s="111" customFormat="1">
      <c r="A92" s="78"/>
      <c r="B92" s="108">
        <v>0</v>
      </c>
      <c r="C92" s="109">
        <v>0</v>
      </c>
      <c r="D92" s="108">
        <v>0</v>
      </c>
      <c r="E92" s="108">
        <v>0</v>
      </c>
      <c r="F92" s="108">
        <v>0</v>
      </c>
      <c r="G92" s="108">
        <v>0</v>
      </c>
      <c r="H92" s="108">
        <v>0</v>
      </c>
      <c r="I92" s="108">
        <v>0</v>
      </c>
      <c r="J92" s="108">
        <v>0</v>
      </c>
      <c r="K92" s="109">
        <v>0</v>
      </c>
      <c r="L92" s="108">
        <v>0</v>
      </c>
      <c r="M92" s="108">
        <v>0</v>
      </c>
      <c r="N92" s="110">
        <v>0</v>
      </c>
      <c r="O92" s="107"/>
      <c r="P92" s="107"/>
      <c r="Q92" s="107"/>
    </row>
    <row r="93" spans="1:17" s="111" customFormat="1">
      <c r="A93" s="78"/>
      <c r="B93" s="108"/>
      <c r="C93" s="109"/>
      <c r="D93" s="108"/>
      <c r="E93" s="108"/>
      <c r="F93" s="108"/>
      <c r="G93" s="108"/>
      <c r="H93" s="108"/>
      <c r="I93" s="108"/>
      <c r="J93" s="108"/>
      <c r="K93" s="109"/>
      <c r="L93" s="108"/>
      <c r="M93" s="108"/>
      <c r="N93" s="110"/>
      <c r="O93" s="107"/>
      <c r="P93" s="107"/>
      <c r="Q93" s="107"/>
    </row>
    <row r="94" spans="1:17" s="111" customFormat="1">
      <c r="A94" s="78"/>
      <c r="B94" s="108"/>
      <c r="C94" s="109"/>
      <c r="D94" s="108"/>
      <c r="E94" s="108"/>
      <c r="F94" s="108"/>
      <c r="G94" s="108"/>
      <c r="H94" s="108"/>
      <c r="I94" s="108"/>
      <c r="J94" s="108"/>
      <c r="K94" s="109"/>
      <c r="L94" s="108"/>
      <c r="M94" s="108"/>
      <c r="N94" s="110"/>
      <c r="O94" s="107"/>
      <c r="P94" s="107"/>
      <c r="Q94" s="107"/>
    </row>
    <row r="95" spans="1:17" s="111" customFormat="1">
      <c r="A95" s="78"/>
      <c r="B95" s="108"/>
      <c r="C95" s="109"/>
      <c r="D95" s="108"/>
      <c r="E95" s="108"/>
      <c r="F95" s="108"/>
      <c r="G95" s="108"/>
      <c r="H95" s="108"/>
      <c r="I95" s="108"/>
      <c r="J95" s="108"/>
      <c r="K95" s="109"/>
      <c r="L95" s="108"/>
      <c r="M95" s="108"/>
      <c r="N95" s="110"/>
      <c r="O95" s="107"/>
      <c r="P95" s="107"/>
      <c r="Q95" s="107"/>
    </row>
    <row r="96" spans="1:17" s="111" customFormat="1">
      <c r="A96" s="78"/>
      <c r="B96" s="108"/>
      <c r="C96" s="109"/>
      <c r="D96" s="108"/>
      <c r="E96" s="108"/>
      <c r="F96" s="108"/>
      <c r="G96" s="108"/>
      <c r="H96" s="108"/>
      <c r="I96" s="108"/>
      <c r="J96" s="108"/>
      <c r="K96" s="109"/>
      <c r="L96" s="108"/>
      <c r="M96" s="108"/>
      <c r="N96" s="110"/>
      <c r="O96" s="107"/>
      <c r="P96" s="107"/>
      <c r="Q96" s="107"/>
    </row>
    <row r="97" spans="1:17" s="111" customFormat="1">
      <c r="A97" s="78"/>
      <c r="B97" s="108"/>
      <c r="C97" s="109"/>
      <c r="D97" s="108"/>
      <c r="E97" s="108"/>
      <c r="F97" s="108"/>
      <c r="G97" s="108"/>
      <c r="H97" s="108"/>
      <c r="I97" s="108"/>
      <c r="J97" s="108"/>
      <c r="K97" s="109"/>
      <c r="L97" s="108"/>
      <c r="M97" s="108"/>
      <c r="N97" s="110"/>
      <c r="O97" s="107"/>
      <c r="P97" s="107"/>
      <c r="Q97" s="107"/>
    </row>
    <row r="98" spans="1:17" s="111" customFormat="1">
      <c r="A98" s="78"/>
      <c r="B98" s="108"/>
      <c r="C98" s="109"/>
      <c r="D98" s="108"/>
      <c r="E98" s="108"/>
      <c r="F98" s="108"/>
      <c r="G98" s="108"/>
      <c r="H98" s="108"/>
      <c r="I98" s="108"/>
      <c r="J98" s="108"/>
      <c r="K98" s="109"/>
      <c r="L98" s="108"/>
      <c r="M98" s="108"/>
      <c r="N98" s="110"/>
      <c r="O98" s="107"/>
      <c r="P98" s="107"/>
      <c r="Q98" s="107"/>
    </row>
    <row r="99" spans="1:17" s="111" customFormat="1">
      <c r="A99" s="78"/>
      <c r="B99" s="108"/>
      <c r="C99" s="109"/>
      <c r="D99" s="108"/>
      <c r="E99" s="108"/>
      <c r="F99" s="108"/>
      <c r="G99" s="108"/>
      <c r="H99" s="108"/>
      <c r="I99" s="108"/>
      <c r="J99" s="108"/>
      <c r="K99" s="109"/>
      <c r="L99" s="108"/>
      <c r="M99" s="108"/>
      <c r="N99" s="110"/>
      <c r="O99" s="107"/>
      <c r="P99" s="107"/>
      <c r="Q99" s="107"/>
    </row>
    <row r="100" spans="1:17" s="111" customFormat="1">
      <c r="A100" s="78"/>
      <c r="B100" s="108"/>
      <c r="C100" s="109"/>
      <c r="D100" s="108"/>
      <c r="E100" s="108"/>
      <c r="F100" s="108"/>
      <c r="G100" s="108"/>
      <c r="H100" s="108"/>
      <c r="I100" s="108"/>
      <c r="J100" s="108"/>
      <c r="K100" s="109"/>
      <c r="L100" s="108"/>
      <c r="M100" s="108"/>
      <c r="N100" s="110"/>
      <c r="O100" s="107"/>
      <c r="P100" s="107"/>
      <c r="Q100" s="107"/>
    </row>
    <row r="101" spans="1:17" s="111" customFormat="1">
      <c r="A101" s="78"/>
      <c r="B101" s="108"/>
      <c r="C101" s="109"/>
      <c r="D101" s="108"/>
      <c r="E101" s="108"/>
      <c r="F101" s="108"/>
      <c r="G101" s="108"/>
      <c r="H101" s="108"/>
      <c r="I101" s="108"/>
      <c r="J101" s="108"/>
      <c r="K101" s="109"/>
      <c r="L101" s="108"/>
      <c r="M101" s="108"/>
      <c r="N101" s="110"/>
      <c r="O101" s="107"/>
      <c r="P101" s="107"/>
      <c r="Q101" s="107"/>
    </row>
    <row r="102" spans="1:17" s="111" customFormat="1">
      <c r="A102" s="78"/>
      <c r="B102" s="108"/>
      <c r="C102" s="109"/>
      <c r="D102" s="108"/>
      <c r="E102" s="108"/>
      <c r="F102" s="108"/>
      <c r="G102" s="108"/>
      <c r="H102" s="108"/>
      <c r="I102" s="108"/>
      <c r="J102" s="108"/>
      <c r="K102" s="109"/>
      <c r="L102" s="108"/>
      <c r="M102" s="108"/>
      <c r="N102" s="110"/>
      <c r="O102" s="107"/>
      <c r="P102" s="107"/>
      <c r="Q102" s="107"/>
    </row>
    <row r="103" spans="1:17" s="111" customFormat="1">
      <c r="A103" s="78"/>
      <c r="B103" s="108"/>
      <c r="C103" s="109"/>
      <c r="D103" s="108"/>
      <c r="E103" s="108"/>
      <c r="F103" s="108"/>
      <c r="G103" s="108"/>
      <c r="H103" s="108"/>
      <c r="I103" s="108"/>
      <c r="J103" s="108"/>
      <c r="K103" s="109"/>
      <c r="L103" s="108"/>
      <c r="M103" s="108"/>
      <c r="N103" s="110"/>
      <c r="O103" s="107"/>
      <c r="P103" s="107"/>
      <c r="Q103" s="107"/>
    </row>
    <row r="104" spans="1:17" s="111" customFormat="1">
      <c r="A104" s="78"/>
      <c r="B104" s="108"/>
      <c r="C104" s="109"/>
      <c r="D104" s="108"/>
      <c r="E104" s="108"/>
      <c r="F104" s="108"/>
      <c r="G104" s="108"/>
      <c r="H104" s="108"/>
      <c r="I104" s="108"/>
      <c r="J104" s="108"/>
      <c r="K104" s="109"/>
      <c r="L104" s="108"/>
      <c r="M104" s="108"/>
      <c r="N104" s="110"/>
      <c r="O104" s="107"/>
      <c r="P104" s="107"/>
      <c r="Q104" s="107"/>
    </row>
    <row r="105" spans="1:17" s="111" customFormat="1">
      <c r="A105" s="78"/>
      <c r="B105" s="108"/>
      <c r="C105" s="109"/>
      <c r="D105" s="108"/>
      <c r="E105" s="108"/>
      <c r="F105" s="108"/>
      <c r="G105" s="108"/>
      <c r="H105" s="108"/>
      <c r="I105" s="108"/>
      <c r="J105" s="108"/>
      <c r="K105" s="109"/>
      <c r="L105" s="108"/>
      <c r="M105" s="108"/>
      <c r="N105" s="110"/>
      <c r="O105" s="107"/>
      <c r="P105" s="107"/>
      <c r="Q105" s="107"/>
    </row>
    <row r="106" spans="1:17" s="111" customFormat="1">
      <c r="A106" s="78"/>
      <c r="B106" s="108"/>
      <c r="C106" s="109"/>
      <c r="D106" s="108"/>
      <c r="E106" s="108"/>
      <c r="F106" s="108"/>
      <c r="G106" s="108"/>
      <c r="H106" s="108"/>
      <c r="I106" s="108"/>
      <c r="J106" s="108"/>
      <c r="K106" s="109"/>
      <c r="L106" s="108"/>
      <c r="M106" s="108"/>
      <c r="N106" s="110"/>
      <c r="O106" s="107"/>
      <c r="P106" s="107"/>
      <c r="Q106" s="107"/>
    </row>
    <row r="107" spans="1:17" s="111" customFormat="1">
      <c r="A107" s="78"/>
      <c r="B107" s="108"/>
      <c r="C107" s="109"/>
      <c r="D107" s="108"/>
      <c r="E107" s="108"/>
      <c r="F107" s="108"/>
      <c r="G107" s="108"/>
      <c r="H107" s="108"/>
      <c r="I107" s="108"/>
      <c r="J107" s="108"/>
      <c r="K107" s="109"/>
      <c r="L107" s="108"/>
      <c r="M107" s="108"/>
      <c r="N107" s="110"/>
      <c r="O107" s="107"/>
      <c r="P107" s="107"/>
      <c r="Q107" s="107"/>
    </row>
    <row r="108" spans="1:17" s="111" customFormat="1">
      <c r="A108" s="78"/>
      <c r="B108" s="108"/>
      <c r="C108" s="109"/>
      <c r="D108" s="108"/>
      <c r="E108" s="108"/>
      <c r="F108" s="108"/>
      <c r="G108" s="108"/>
      <c r="H108" s="108"/>
      <c r="I108" s="108"/>
      <c r="J108" s="108"/>
      <c r="K108" s="109"/>
      <c r="L108" s="108"/>
      <c r="M108" s="108"/>
      <c r="N108" s="110"/>
      <c r="O108" s="107"/>
      <c r="P108" s="107"/>
      <c r="Q108" s="107"/>
    </row>
    <row r="109" spans="1:17" s="111" customFormat="1">
      <c r="A109" s="78"/>
      <c r="B109" s="108"/>
      <c r="C109" s="109"/>
      <c r="D109" s="108"/>
      <c r="E109" s="108"/>
      <c r="F109" s="108"/>
      <c r="G109" s="108"/>
      <c r="H109" s="108"/>
      <c r="I109" s="108"/>
      <c r="J109" s="108"/>
      <c r="K109" s="109"/>
      <c r="L109" s="108"/>
      <c r="M109" s="108"/>
      <c r="N109" s="110"/>
      <c r="O109" s="107"/>
      <c r="P109" s="107"/>
      <c r="Q109" s="107"/>
    </row>
    <row r="110" spans="1:17" s="111" customFormat="1">
      <c r="A110" s="78"/>
      <c r="B110" s="108"/>
      <c r="C110" s="109"/>
      <c r="D110" s="108"/>
      <c r="E110" s="108"/>
      <c r="F110" s="108"/>
      <c r="G110" s="108"/>
      <c r="H110" s="108"/>
      <c r="I110" s="108"/>
      <c r="J110" s="108"/>
      <c r="K110" s="109"/>
      <c r="L110" s="108"/>
      <c r="M110" s="108"/>
      <c r="N110" s="110"/>
      <c r="O110" s="107"/>
      <c r="P110" s="107"/>
      <c r="Q110" s="107"/>
    </row>
    <row r="111" spans="1:17" s="111" customFormat="1">
      <c r="A111" s="78"/>
      <c r="B111" s="108"/>
      <c r="C111" s="109"/>
      <c r="D111" s="108"/>
      <c r="E111" s="108"/>
      <c r="F111" s="108"/>
      <c r="G111" s="108"/>
      <c r="H111" s="108"/>
      <c r="I111" s="108"/>
      <c r="J111" s="108"/>
      <c r="K111" s="109"/>
      <c r="L111" s="108"/>
      <c r="M111" s="108"/>
      <c r="N111" s="110"/>
      <c r="O111" s="107"/>
      <c r="P111" s="107"/>
      <c r="Q111" s="107"/>
    </row>
    <row r="112" spans="1:17" s="111" customFormat="1">
      <c r="A112" s="78"/>
      <c r="B112" s="108"/>
      <c r="C112" s="109"/>
      <c r="D112" s="108"/>
      <c r="E112" s="108"/>
      <c r="F112" s="108"/>
      <c r="G112" s="108"/>
      <c r="H112" s="108"/>
      <c r="I112" s="108"/>
      <c r="J112" s="108"/>
      <c r="K112" s="109"/>
      <c r="L112" s="108"/>
      <c r="M112" s="108"/>
      <c r="N112" s="110"/>
      <c r="O112" s="107"/>
      <c r="P112" s="107"/>
      <c r="Q112" s="107"/>
    </row>
    <row r="113" spans="1:17" s="111" customFormat="1">
      <c r="A113" s="78"/>
      <c r="B113" s="108"/>
      <c r="C113" s="109"/>
      <c r="D113" s="108"/>
      <c r="E113" s="108"/>
      <c r="F113" s="108"/>
      <c r="G113" s="108"/>
      <c r="H113" s="108"/>
      <c r="I113" s="108"/>
      <c r="J113" s="108"/>
      <c r="K113" s="109"/>
      <c r="L113" s="108"/>
      <c r="M113" s="108"/>
      <c r="N113" s="110"/>
      <c r="O113" s="107"/>
      <c r="P113" s="107"/>
      <c r="Q113" s="107"/>
    </row>
    <row r="114" spans="1:17" s="111" customFormat="1">
      <c r="A114" s="78"/>
      <c r="B114" s="108"/>
      <c r="C114" s="109"/>
      <c r="D114" s="108"/>
      <c r="E114" s="108"/>
      <c r="F114" s="108"/>
      <c r="G114" s="108"/>
      <c r="H114" s="108"/>
      <c r="I114" s="108"/>
      <c r="J114" s="108"/>
      <c r="K114" s="109"/>
      <c r="L114" s="108"/>
      <c r="M114" s="108"/>
      <c r="N114" s="110"/>
      <c r="O114" s="107"/>
      <c r="P114" s="107"/>
      <c r="Q114" s="107"/>
    </row>
    <row r="115" spans="1:17" s="111" customFormat="1">
      <c r="A115" s="78"/>
      <c r="B115" s="108"/>
      <c r="C115" s="109"/>
      <c r="D115" s="108"/>
      <c r="E115" s="108"/>
      <c r="F115" s="108"/>
      <c r="G115" s="108"/>
      <c r="H115" s="108"/>
      <c r="I115" s="108"/>
      <c r="J115" s="108"/>
      <c r="K115" s="109"/>
      <c r="L115" s="108"/>
      <c r="M115" s="108"/>
      <c r="N115" s="110"/>
      <c r="O115" s="107"/>
      <c r="P115" s="107"/>
      <c r="Q115" s="107"/>
    </row>
    <row r="116" spans="1:17" s="111" customFormat="1">
      <c r="A116" s="78"/>
      <c r="B116" s="108"/>
      <c r="C116" s="109"/>
      <c r="D116" s="108"/>
      <c r="E116" s="108"/>
      <c r="F116" s="108"/>
      <c r="G116" s="108"/>
      <c r="H116" s="108"/>
      <c r="I116" s="108"/>
      <c r="J116" s="108"/>
      <c r="K116" s="109"/>
      <c r="L116" s="108"/>
      <c r="M116" s="108"/>
      <c r="N116" s="110"/>
      <c r="O116" s="107"/>
      <c r="P116" s="107"/>
      <c r="Q116" s="107"/>
    </row>
    <row r="117" spans="1:17" s="111" customFormat="1">
      <c r="A117" s="78"/>
      <c r="B117" s="108"/>
      <c r="C117" s="109"/>
      <c r="D117" s="108"/>
      <c r="E117" s="108"/>
      <c r="F117" s="108"/>
      <c r="G117" s="108"/>
      <c r="H117" s="108"/>
      <c r="I117" s="108"/>
      <c r="J117" s="108"/>
      <c r="K117" s="109"/>
      <c r="L117" s="108"/>
      <c r="M117" s="108"/>
      <c r="N117" s="110"/>
      <c r="O117" s="107"/>
      <c r="P117" s="107"/>
      <c r="Q117" s="107"/>
    </row>
    <row r="118" spans="1:17" s="111" customFormat="1">
      <c r="A118" s="78"/>
      <c r="B118" s="108"/>
      <c r="C118" s="109"/>
      <c r="D118" s="108"/>
      <c r="E118" s="108"/>
      <c r="F118" s="108"/>
      <c r="G118" s="108"/>
      <c r="H118" s="108"/>
      <c r="I118" s="108"/>
      <c r="J118" s="108"/>
      <c r="K118" s="109"/>
      <c r="L118" s="108"/>
      <c r="M118" s="108"/>
      <c r="N118" s="110"/>
      <c r="O118" s="107"/>
      <c r="P118" s="107"/>
      <c r="Q118" s="107"/>
    </row>
    <row r="119" spans="1:17" s="111" customFormat="1">
      <c r="A119" s="78"/>
      <c r="B119" s="108"/>
      <c r="C119" s="109"/>
      <c r="D119" s="108"/>
      <c r="E119" s="108"/>
      <c r="F119" s="108"/>
      <c r="G119" s="108"/>
      <c r="H119" s="108"/>
      <c r="I119" s="108"/>
      <c r="J119" s="108"/>
      <c r="K119" s="109"/>
      <c r="L119" s="108"/>
      <c r="M119" s="108"/>
      <c r="N119" s="110"/>
      <c r="O119" s="107"/>
      <c r="P119" s="107"/>
      <c r="Q119" s="107"/>
    </row>
    <row r="120" spans="1:17" s="111" customFormat="1">
      <c r="A120" s="78"/>
      <c r="B120" s="108"/>
      <c r="C120" s="109"/>
      <c r="D120" s="108"/>
      <c r="E120" s="108"/>
      <c r="F120" s="108"/>
      <c r="G120" s="108"/>
      <c r="H120" s="108"/>
      <c r="I120" s="108"/>
      <c r="J120" s="108"/>
      <c r="K120" s="109"/>
      <c r="L120" s="108"/>
      <c r="M120" s="108"/>
      <c r="N120" s="110"/>
      <c r="O120" s="107"/>
      <c r="P120" s="107"/>
      <c r="Q120" s="107"/>
    </row>
    <row r="121" spans="1:17" s="111" customFormat="1">
      <c r="A121" s="78"/>
      <c r="B121" s="108"/>
      <c r="C121" s="109"/>
      <c r="D121" s="108"/>
      <c r="E121" s="108"/>
      <c r="F121" s="108"/>
      <c r="G121" s="108"/>
      <c r="H121" s="108"/>
      <c r="I121" s="108"/>
      <c r="J121" s="108"/>
      <c r="K121" s="109"/>
      <c r="L121" s="108"/>
      <c r="M121" s="108"/>
      <c r="N121" s="110"/>
      <c r="O121" s="107"/>
      <c r="P121" s="107"/>
      <c r="Q121" s="107"/>
    </row>
    <row r="122" spans="1:17" s="111" customFormat="1">
      <c r="A122" s="78"/>
      <c r="B122" s="108"/>
      <c r="C122" s="109"/>
      <c r="D122" s="108"/>
      <c r="E122" s="108"/>
      <c r="F122" s="108"/>
      <c r="G122" s="108"/>
      <c r="H122" s="108"/>
      <c r="I122" s="108"/>
      <c r="J122" s="108"/>
      <c r="K122" s="109"/>
      <c r="L122" s="108"/>
      <c r="M122" s="108"/>
      <c r="N122" s="110"/>
      <c r="O122" s="107"/>
      <c r="P122" s="107"/>
      <c r="Q122" s="107"/>
    </row>
    <row r="123" spans="1:17" s="111" customFormat="1">
      <c r="A123" s="78"/>
      <c r="B123" s="108"/>
      <c r="C123" s="109"/>
      <c r="D123" s="108"/>
      <c r="E123" s="108"/>
      <c r="F123" s="108"/>
      <c r="G123" s="108"/>
      <c r="H123" s="108"/>
      <c r="I123" s="108"/>
      <c r="J123" s="108"/>
      <c r="K123" s="109"/>
      <c r="L123" s="108"/>
      <c r="M123" s="108"/>
      <c r="N123" s="110"/>
      <c r="O123" s="107"/>
      <c r="P123" s="107"/>
      <c r="Q123" s="107"/>
    </row>
    <row r="124" spans="1:17" s="111" customFormat="1">
      <c r="A124" s="78"/>
      <c r="B124" s="108"/>
      <c r="C124" s="109"/>
      <c r="D124" s="108"/>
      <c r="E124" s="108"/>
      <c r="F124" s="108"/>
      <c r="G124" s="108"/>
      <c r="H124" s="108"/>
      <c r="I124" s="108"/>
      <c r="J124" s="108"/>
      <c r="K124" s="109"/>
      <c r="L124" s="108"/>
      <c r="M124" s="108"/>
      <c r="N124" s="110"/>
      <c r="O124" s="107"/>
      <c r="P124" s="107"/>
      <c r="Q124" s="107"/>
    </row>
    <row r="125" spans="1:17" s="111" customFormat="1">
      <c r="A125" s="78"/>
      <c r="B125" s="108"/>
      <c r="C125" s="109"/>
      <c r="D125" s="108"/>
      <c r="E125" s="108"/>
      <c r="F125" s="108"/>
      <c r="G125" s="108"/>
      <c r="H125" s="108"/>
      <c r="I125" s="108"/>
      <c r="J125" s="108"/>
      <c r="K125" s="109"/>
      <c r="L125" s="108"/>
      <c r="M125" s="108"/>
      <c r="N125" s="110"/>
      <c r="O125" s="107"/>
      <c r="P125" s="107"/>
      <c r="Q125" s="107"/>
    </row>
    <row r="126" spans="1:17" s="111" customFormat="1">
      <c r="A126" s="78"/>
      <c r="B126" s="108"/>
      <c r="C126" s="109"/>
      <c r="D126" s="108"/>
      <c r="E126" s="108"/>
      <c r="F126" s="108"/>
      <c r="G126" s="108"/>
      <c r="H126" s="108"/>
      <c r="I126" s="108"/>
      <c r="J126" s="108"/>
      <c r="K126" s="109"/>
      <c r="L126" s="108"/>
      <c r="M126" s="108"/>
      <c r="N126" s="110"/>
      <c r="O126" s="107"/>
      <c r="P126" s="107"/>
      <c r="Q126" s="107"/>
    </row>
    <row r="127" spans="1:17" s="111" customFormat="1">
      <c r="A127" s="78"/>
      <c r="B127" s="108"/>
      <c r="C127" s="109"/>
      <c r="D127" s="108"/>
      <c r="E127" s="108"/>
      <c r="F127" s="108"/>
      <c r="G127" s="108"/>
      <c r="H127" s="108"/>
      <c r="I127" s="108"/>
      <c r="J127" s="108"/>
      <c r="K127" s="109"/>
      <c r="L127" s="108"/>
      <c r="M127" s="108"/>
      <c r="N127" s="110"/>
      <c r="O127" s="107"/>
      <c r="P127" s="107"/>
      <c r="Q127" s="107"/>
    </row>
    <row r="128" spans="1:17" s="111" customFormat="1">
      <c r="A128" s="78"/>
      <c r="B128" s="108"/>
      <c r="C128" s="109"/>
      <c r="D128" s="108"/>
      <c r="E128" s="108"/>
      <c r="F128" s="108"/>
      <c r="G128" s="108"/>
      <c r="H128" s="108"/>
      <c r="I128" s="108"/>
      <c r="J128" s="108"/>
      <c r="K128" s="109"/>
      <c r="L128" s="108"/>
      <c r="M128" s="108"/>
      <c r="N128" s="110"/>
      <c r="O128" s="107"/>
      <c r="P128" s="107"/>
      <c r="Q128" s="107"/>
    </row>
    <row r="129" spans="1:17" s="111" customFormat="1">
      <c r="A129" s="78"/>
      <c r="B129" s="108"/>
      <c r="C129" s="109"/>
      <c r="D129" s="108"/>
      <c r="E129" s="108"/>
      <c r="F129" s="108"/>
      <c r="G129" s="108"/>
      <c r="H129" s="108"/>
      <c r="I129" s="108"/>
      <c r="J129" s="108"/>
      <c r="K129" s="109"/>
      <c r="L129" s="108"/>
      <c r="M129" s="108"/>
      <c r="N129" s="110"/>
      <c r="O129" s="107"/>
      <c r="P129" s="107"/>
      <c r="Q129" s="107"/>
    </row>
    <row r="130" spans="1:17" s="111" customFormat="1">
      <c r="A130" s="78"/>
      <c r="B130" s="108"/>
      <c r="C130" s="109"/>
      <c r="D130" s="108"/>
      <c r="E130" s="108"/>
      <c r="F130" s="108"/>
      <c r="G130" s="108"/>
      <c r="H130" s="108"/>
      <c r="I130" s="108"/>
      <c r="J130" s="108"/>
      <c r="K130" s="109"/>
      <c r="L130" s="108"/>
      <c r="M130" s="108"/>
      <c r="N130" s="110"/>
      <c r="O130" s="107"/>
      <c r="P130" s="107"/>
      <c r="Q130" s="107"/>
    </row>
    <row r="131" spans="1:17" s="111" customFormat="1">
      <c r="A131" s="78"/>
      <c r="B131" s="108"/>
      <c r="C131" s="109"/>
      <c r="D131" s="108"/>
      <c r="E131" s="108"/>
      <c r="F131" s="108"/>
      <c r="G131" s="108"/>
      <c r="H131" s="108"/>
      <c r="I131" s="108"/>
      <c r="J131" s="108"/>
      <c r="K131" s="109"/>
      <c r="L131" s="108"/>
      <c r="M131" s="108"/>
      <c r="N131" s="110"/>
      <c r="O131" s="107"/>
      <c r="P131" s="107"/>
      <c r="Q131" s="107"/>
    </row>
    <row r="132" spans="1:17" s="111" customFormat="1">
      <c r="A132" s="78"/>
      <c r="B132" s="108"/>
      <c r="C132" s="109"/>
      <c r="D132" s="108"/>
      <c r="E132" s="108"/>
      <c r="F132" s="108"/>
      <c r="G132" s="108"/>
      <c r="H132" s="108"/>
      <c r="I132" s="108"/>
      <c r="J132" s="108"/>
      <c r="K132" s="109"/>
      <c r="L132" s="108"/>
      <c r="M132" s="108"/>
      <c r="N132" s="110"/>
      <c r="O132" s="107"/>
      <c r="P132" s="107"/>
      <c r="Q132" s="107"/>
    </row>
    <row r="133" spans="1:17" s="111" customFormat="1">
      <c r="A133" s="78"/>
      <c r="B133" s="108"/>
      <c r="C133" s="109"/>
      <c r="D133" s="108"/>
      <c r="E133" s="108"/>
      <c r="F133" s="108"/>
      <c r="G133" s="108"/>
      <c r="H133" s="108"/>
      <c r="I133" s="108"/>
      <c r="J133" s="108"/>
      <c r="K133" s="109"/>
      <c r="L133" s="108"/>
      <c r="M133" s="108"/>
      <c r="N133" s="110"/>
      <c r="O133" s="107"/>
      <c r="P133" s="107"/>
      <c r="Q133" s="107"/>
    </row>
    <row r="134" spans="1:17" s="111" customFormat="1">
      <c r="A134" s="78"/>
      <c r="B134" s="108"/>
      <c r="C134" s="109"/>
      <c r="D134" s="108"/>
      <c r="E134" s="108"/>
      <c r="F134" s="108"/>
      <c r="G134" s="108"/>
      <c r="H134" s="108"/>
      <c r="I134" s="108"/>
      <c r="J134" s="108"/>
      <c r="K134" s="109"/>
      <c r="L134" s="108"/>
      <c r="M134" s="108"/>
      <c r="N134" s="110"/>
      <c r="O134" s="107"/>
      <c r="P134" s="107"/>
      <c r="Q134" s="107"/>
    </row>
    <row r="135" spans="1:17" s="111" customFormat="1">
      <c r="A135" s="78"/>
      <c r="B135" s="108"/>
      <c r="C135" s="109"/>
      <c r="D135" s="108"/>
      <c r="E135" s="108"/>
      <c r="F135" s="108"/>
      <c r="G135" s="108"/>
      <c r="H135" s="108"/>
      <c r="I135" s="108"/>
      <c r="J135" s="108"/>
      <c r="K135" s="109"/>
      <c r="L135" s="108"/>
      <c r="M135" s="108"/>
      <c r="N135" s="110"/>
      <c r="O135" s="107"/>
      <c r="P135" s="107"/>
      <c r="Q135" s="107"/>
    </row>
    <row r="136" spans="1:17" s="111" customFormat="1">
      <c r="A136" s="78"/>
      <c r="B136" s="108"/>
      <c r="C136" s="109"/>
      <c r="D136" s="108"/>
      <c r="E136" s="108"/>
      <c r="F136" s="108"/>
      <c r="G136" s="108"/>
      <c r="H136" s="108"/>
      <c r="I136" s="108"/>
      <c r="J136" s="108"/>
      <c r="K136" s="109"/>
      <c r="L136" s="108"/>
      <c r="M136" s="108"/>
      <c r="N136" s="110"/>
      <c r="O136" s="107"/>
      <c r="P136" s="107"/>
      <c r="Q136" s="107"/>
    </row>
    <row r="137" spans="1:17" s="111" customFormat="1">
      <c r="A137" s="78"/>
      <c r="B137" s="108"/>
      <c r="C137" s="109"/>
      <c r="D137" s="108"/>
      <c r="E137" s="108"/>
      <c r="F137" s="108"/>
      <c r="G137" s="108"/>
      <c r="H137" s="108"/>
      <c r="I137" s="108"/>
      <c r="J137" s="108"/>
      <c r="K137" s="109"/>
      <c r="L137" s="108"/>
      <c r="M137" s="108"/>
      <c r="N137" s="110"/>
      <c r="O137" s="107"/>
      <c r="P137" s="107"/>
      <c r="Q137" s="107"/>
    </row>
    <row r="138" spans="1:17" s="111" customFormat="1">
      <c r="A138" s="78"/>
      <c r="B138" s="108"/>
      <c r="C138" s="109"/>
      <c r="D138" s="108"/>
      <c r="E138" s="108"/>
      <c r="F138" s="108"/>
      <c r="G138" s="108"/>
      <c r="H138" s="108"/>
      <c r="I138" s="108"/>
      <c r="J138" s="108"/>
      <c r="K138" s="109"/>
      <c r="L138" s="108"/>
      <c r="M138" s="108"/>
      <c r="N138" s="110"/>
      <c r="O138" s="107"/>
      <c r="P138" s="107"/>
      <c r="Q138" s="107"/>
    </row>
    <row r="139" spans="1:17" s="111" customFormat="1">
      <c r="A139" s="78"/>
      <c r="B139" s="108"/>
      <c r="C139" s="109"/>
      <c r="D139" s="108"/>
      <c r="E139" s="108"/>
      <c r="F139" s="108"/>
      <c r="G139" s="108"/>
      <c r="H139" s="108"/>
      <c r="I139" s="108"/>
      <c r="J139" s="108"/>
      <c r="K139" s="109"/>
      <c r="L139" s="108"/>
      <c r="M139" s="108"/>
      <c r="N139" s="110"/>
      <c r="O139" s="107"/>
      <c r="P139" s="107"/>
      <c r="Q139" s="107"/>
    </row>
    <row r="140" spans="1:17" s="111" customFormat="1">
      <c r="A140" s="78"/>
      <c r="B140" s="108"/>
      <c r="C140" s="109"/>
      <c r="D140" s="108"/>
      <c r="E140" s="108"/>
      <c r="F140" s="108"/>
      <c r="G140" s="108"/>
      <c r="H140" s="108"/>
      <c r="I140" s="108"/>
      <c r="J140" s="108"/>
      <c r="K140" s="109"/>
      <c r="L140" s="108"/>
      <c r="M140" s="108"/>
      <c r="N140" s="110"/>
      <c r="O140" s="107"/>
      <c r="P140" s="107"/>
      <c r="Q140" s="107"/>
    </row>
    <row r="141" spans="1:17" s="111" customFormat="1">
      <c r="A141" s="78"/>
      <c r="B141" s="108"/>
      <c r="C141" s="109"/>
      <c r="D141" s="108"/>
      <c r="E141" s="108"/>
      <c r="F141" s="108"/>
      <c r="G141" s="108"/>
      <c r="H141" s="108"/>
      <c r="I141" s="108"/>
      <c r="J141" s="108"/>
      <c r="K141" s="109"/>
      <c r="L141" s="108"/>
      <c r="M141" s="108"/>
      <c r="N141" s="110"/>
      <c r="O141" s="107"/>
      <c r="P141" s="107"/>
      <c r="Q141" s="107"/>
    </row>
    <row r="142" spans="1:17" s="111" customFormat="1">
      <c r="A142" s="78"/>
      <c r="B142" s="108"/>
      <c r="C142" s="109"/>
      <c r="D142" s="108"/>
      <c r="E142" s="108"/>
      <c r="F142" s="108"/>
      <c r="G142" s="108"/>
      <c r="H142" s="108"/>
      <c r="I142" s="108"/>
      <c r="J142" s="108"/>
      <c r="K142" s="109"/>
      <c r="L142" s="108"/>
      <c r="M142" s="108"/>
      <c r="N142" s="110"/>
      <c r="O142" s="107"/>
      <c r="P142" s="107"/>
      <c r="Q142" s="107"/>
    </row>
    <row r="143" spans="1:17" s="111" customFormat="1">
      <c r="A143" s="78"/>
      <c r="B143" s="108"/>
      <c r="C143" s="109"/>
      <c r="D143" s="108"/>
      <c r="E143" s="108"/>
      <c r="F143" s="108"/>
      <c r="G143" s="108"/>
      <c r="H143" s="108"/>
      <c r="I143" s="108"/>
      <c r="J143" s="108"/>
      <c r="K143" s="109"/>
      <c r="L143" s="108"/>
      <c r="M143" s="108"/>
      <c r="N143" s="110"/>
      <c r="O143" s="107"/>
      <c r="P143" s="107"/>
      <c r="Q143" s="107"/>
    </row>
    <row r="144" spans="1:17" s="111" customFormat="1">
      <c r="A144" s="78"/>
      <c r="B144" s="108"/>
      <c r="C144" s="109"/>
      <c r="D144" s="108"/>
      <c r="E144" s="108"/>
      <c r="F144" s="108"/>
      <c r="G144" s="108"/>
      <c r="H144" s="108"/>
      <c r="I144" s="108"/>
      <c r="J144" s="108"/>
      <c r="K144" s="109"/>
      <c r="L144" s="108"/>
      <c r="M144" s="108"/>
      <c r="N144" s="110"/>
      <c r="O144" s="107"/>
      <c r="P144" s="107"/>
      <c r="Q144" s="107"/>
    </row>
    <row r="145" spans="1:17" s="111" customFormat="1">
      <c r="A145" s="78"/>
      <c r="B145" s="108"/>
      <c r="C145" s="109"/>
      <c r="D145" s="108"/>
      <c r="E145" s="108"/>
      <c r="F145" s="108"/>
      <c r="G145" s="108"/>
      <c r="H145" s="108"/>
      <c r="I145" s="108"/>
      <c r="J145" s="108"/>
      <c r="K145" s="109"/>
      <c r="L145" s="108"/>
      <c r="M145" s="108"/>
      <c r="N145" s="110"/>
      <c r="O145" s="107"/>
      <c r="P145" s="107"/>
      <c r="Q145" s="107"/>
    </row>
    <row r="146" spans="1:17" s="111" customFormat="1">
      <c r="A146" s="78"/>
      <c r="B146" s="108"/>
      <c r="C146" s="109"/>
      <c r="D146" s="108"/>
      <c r="E146" s="108"/>
      <c r="F146" s="108"/>
      <c r="G146" s="108"/>
      <c r="H146" s="108"/>
      <c r="I146" s="108"/>
      <c r="J146" s="108"/>
      <c r="K146" s="109"/>
      <c r="L146" s="108"/>
      <c r="M146" s="108"/>
      <c r="N146" s="110"/>
      <c r="O146" s="107"/>
      <c r="P146" s="107"/>
      <c r="Q146" s="107"/>
    </row>
    <row r="147" spans="1:17" s="111" customFormat="1">
      <c r="A147" s="78"/>
      <c r="B147" s="108"/>
      <c r="C147" s="109"/>
      <c r="D147" s="108"/>
      <c r="E147" s="108"/>
      <c r="F147" s="108"/>
      <c r="G147" s="108"/>
      <c r="H147" s="108"/>
      <c r="I147" s="108"/>
      <c r="J147" s="108"/>
      <c r="K147" s="109"/>
      <c r="L147" s="108"/>
      <c r="M147" s="108"/>
      <c r="N147" s="110"/>
      <c r="O147" s="107"/>
      <c r="P147" s="107"/>
      <c r="Q147" s="107"/>
    </row>
    <row r="148" spans="1:17" s="111" customFormat="1">
      <c r="A148" s="78"/>
      <c r="B148" s="108"/>
      <c r="C148" s="109"/>
      <c r="D148" s="108"/>
      <c r="E148" s="108"/>
      <c r="F148" s="108"/>
      <c r="G148" s="108"/>
      <c r="H148" s="108"/>
      <c r="I148" s="108"/>
      <c r="J148" s="108"/>
      <c r="K148" s="109"/>
      <c r="L148" s="108"/>
      <c r="M148" s="108"/>
      <c r="N148" s="110"/>
      <c r="O148" s="107"/>
      <c r="P148" s="107"/>
      <c r="Q148" s="107"/>
    </row>
    <row r="149" spans="1:17" s="111" customFormat="1">
      <c r="A149" s="78"/>
      <c r="B149" s="108"/>
      <c r="C149" s="109"/>
      <c r="D149" s="108"/>
      <c r="E149" s="108"/>
      <c r="F149" s="108"/>
      <c r="G149" s="108"/>
      <c r="H149" s="108"/>
      <c r="I149" s="108"/>
      <c r="J149" s="108"/>
      <c r="K149" s="109"/>
      <c r="L149" s="108"/>
      <c r="M149" s="108"/>
      <c r="N149" s="110"/>
      <c r="O149" s="107"/>
      <c r="P149" s="107"/>
      <c r="Q149" s="107"/>
    </row>
    <row r="150" spans="1:17" s="111" customFormat="1">
      <c r="A150" s="78"/>
      <c r="B150" s="108"/>
      <c r="C150" s="109"/>
      <c r="D150" s="108"/>
      <c r="E150" s="108"/>
      <c r="F150" s="108"/>
      <c r="G150" s="108"/>
      <c r="H150" s="108"/>
      <c r="I150" s="108"/>
      <c r="J150" s="108"/>
      <c r="K150" s="109"/>
      <c r="L150" s="108"/>
      <c r="M150" s="108"/>
      <c r="N150" s="110"/>
      <c r="O150" s="107"/>
      <c r="P150" s="107"/>
      <c r="Q150" s="107"/>
    </row>
    <row r="151" spans="1:17" s="111" customFormat="1">
      <c r="A151" s="78"/>
      <c r="B151" s="108"/>
      <c r="C151" s="109"/>
      <c r="D151" s="108"/>
      <c r="E151" s="108"/>
      <c r="F151" s="108"/>
      <c r="G151" s="108"/>
      <c r="H151" s="108"/>
      <c r="I151" s="108"/>
      <c r="J151" s="108"/>
      <c r="K151" s="109"/>
      <c r="L151" s="108"/>
      <c r="M151" s="108"/>
      <c r="N151" s="110"/>
      <c r="O151" s="107"/>
      <c r="P151" s="107"/>
      <c r="Q151" s="107"/>
    </row>
    <row r="152" spans="1:17" s="111" customFormat="1">
      <c r="A152" s="78"/>
      <c r="B152" s="108"/>
      <c r="C152" s="109"/>
      <c r="D152" s="108"/>
      <c r="E152" s="108"/>
      <c r="F152" s="108"/>
      <c r="G152" s="108"/>
      <c r="H152" s="108"/>
      <c r="I152" s="108"/>
      <c r="J152" s="108"/>
      <c r="K152" s="109"/>
      <c r="L152" s="108"/>
      <c r="M152" s="108"/>
      <c r="N152" s="110"/>
      <c r="O152" s="107"/>
      <c r="P152" s="107"/>
      <c r="Q152" s="107"/>
    </row>
    <row r="153" spans="1:17" s="111" customFormat="1">
      <c r="A153" s="78"/>
      <c r="B153" s="108"/>
      <c r="C153" s="109"/>
      <c r="D153" s="108"/>
      <c r="E153" s="108"/>
      <c r="F153" s="108"/>
      <c r="G153" s="108"/>
      <c r="H153" s="108"/>
      <c r="I153" s="108"/>
      <c r="J153" s="108"/>
      <c r="K153" s="109"/>
      <c r="L153" s="108"/>
      <c r="M153" s="108"/>
      <c r="N153" s="110"/>
      <c r="O153" s="107"/>
      <c r="P153" s="107"/>
      <c r="Q153" s="107"/>
    </row>
    <row r="154" spans="1:17" s="111" customFormat="1">
      <c r="A154" s="78"/>
      <c r="B154" s="108"/>
      <c r="C154" s="109"/>
      <c r="D154" s="108"/>
      <c r="E154" s="108"/>
      <c r="F154" s="108"/>
      <c r="G154" s="108"/>
      <c r="H154" s="108"/>
      <c r="I154" s="108"/>
      <c r="J154" s="108"/>
      <c r="K154" s="109"/>
      <c r="L154" s="108"/>
      <c r="M154" s="108"/>
      <c r="N154" s="110"/>
      <c r="O154" s="107"/>
      <c r="P154" s="107"/>
      <c r="Q154" s="107"/>
    </row>
    <row r="155" spans="1:17" s="111" customFormat="1">
      <c r="A155" s="78"/>
      <c r="B155" s="108"/>
      <c r="C155" s="109"/>
      <c r="D155" s="108"/>
      <c r="E155" s="108"/>
      <c r="F155" s="108"/>
      <c r="G155" s="108"/>
      <c r="H155" s="108"/>
      <c r="I155" s="108"/>
      <c r="J155" s="108"/>
      <c r="K155" s="109"/>
      <c r="L155" s="108"/>
      <c r="M155" s="108"/>
      <c r="N155" s="110"/>
      <c r="O155" s="107"/>
      <c r="P155" s="107"/>
      <c r="Q155" s="107"/>
    </row>
    <row r="156" spans="1:17" s="111" customFormat="1">
      <c r="A156" s="78"/>
      <c r="B156" s="108"/>
      <c r="C156" s="109"/>
      <c r="D156" s="108"/>
      <c r="E156" s="108"/>
      <c r="F156" s="108"/>
      <c r="G156" s="108"/>
      <c r="H156" s="108"/>
      <c r="I156" s="108"/>
      <c r="J156" s="108"/>
      <c r="K156" s="109"/>
      <c r="L156" s="108"/>
      <c r="M156" s="108"/>
      <c r="N156" s="110"/>
      <c r="O156" s="107"/>
      <c r="P156" s="107"/>
      <c r="Q156" s="107"/>
    </row>
    <row r="157" spans="1:17" s="111" customFormat="1">
      <c r="A157" s="78"/>
      <c r="B157" s="108"/>
      <c r="C157" s="109"/>
      <c r="D157" s="108"/>
      <c r="E157" s="108"/>
      <c r="F157" s="108"/>
      <c r="G157" s="108"/>
      <c r="H157" s="108"/>
      <c r="I157" s="108"/>
      <c r="J157" s="108"/>
      <c r="K157" s="109"/>
      <c r="L157" s="108"/>
      <c r="M157" s="108"/>
      <c r="N157" s="110"/>
      <c r="O157" s="107"/>
      <c r="P157" s="107"/>
      <c r="Q157" s="107"/>
    </row>
    <row r="158" spans="1:17" s="111" customFormat="1">
      <c r="A158" s="78"/>
      <c r="B158" s="108"/>
      <c r="C158" s="109"/>
      <c r="D158" s="108"/>
      <c r="E158" s="108"/>
      <c r="F158" s="108"/>
      <c r="G158" s="108"/>
      <c r="H158" s="108"/>
      <c r="I158" s="108"/>
      <c r="J158" s="108"/>
      <c r="K158" s="109"/>
      <c r="L158" s="108"/>
      <c r="M158" s="108"/>
      <c r="N158" s="110"/>
      <c r="O158" s="107"/>
      <c r="P158" s="107"/>
      <c r="Q158" s="107"/>
    </row>
    <row r="159" spans="1:17" s="111" customFormat="1">
      <c r="A159" s="78"/>
      <c r="B159" s="108"/>
      <c r="C159" s="109"/>
      <c r="D159" s="108"/>
      <c r="E159" s="108"/>
      <c r="F159" s="108"/>
      <c r="G159" s="108"/>
      <c r="H159" s="108"/>
      <c r="I159" s="108"/>
      <c r="J159" s="108"/>
      <c r="K159" s="109"/>
      <c r="L159" s="108"/>
      <c r="M159" s="108"/>
      <c r="N159" s="110"/>
      <c r="O159" s="107"/>
      <c r="P159" s="107"/>
      <c r="Q159" s="107"/>
    </row>
    <row r="160" spans="1:17" s="111" customFormat="1">
      <c r="A160" s="78"/>
      <c r="B160" s="108"/>
      <c r="C160" s="109"/>
      <c r="D160" s="108"/>
      <c r="E160" s="108"/>
      <c r="F160" s="108"/>
      <c r="G160" s="108"/>
      <c r="H160" s="108"/>
      <c r="I160" s="108"/>
      <c r="J160" s="108"/>
      <c r="K160" s="109"/>
      <c r="L160" s="108"/>
      <c r="M160" s="108"/>
      <c r="N160" s="110"/>
      <c r="O160" s="107"/>
      <c r="P160" s="107"/>
      <c r="Q160" s="107"/>
    </row>
    <row r="161" spans="1:17" s="111" customFormat="1">
      <c r="A161" s="78"/>
      <c r="B161" s="108"/>
      <c r="C161" s="109"/>
      <c r="D161" s="108"/>
      <c r="E161" s="108"/>
      <c r="F161" s="108"/>
      <c r="G161" s="108"/>
      <c r="H161" s="108"/>
      <c r="I161" s="108"/>
      <c r="J161" s="108"/>
      <c r="K161" s="109"/>
      <c r="L161" s="108"/>
      <c r="M161" s="108"/>
      <c r="N161" s="110"/>
      <c r="O161" s="107"/>
      <c r="P161" s="107"/>
      <c r="Q161" s="107"/>
    </row>
    <row r="162" spans="1:17" s="111" customFormat="1">
      <c r="A162" s="78"/>
      <c r="B162" s="108"/>
      <c r="C162" s="109"/>
      <c r="D162" s="108"/>
      <c r="E162" s="108"/>
      <c r="F162" s="108"/>
      <c r="G162" s="108"/>
      <c r="H162" s="108"/>
      <c r="I162" s="108"/>
      <c r="J162" s="108"/>
      <c r="K162" s="109"/>
      <c r="L162" s="108"/>
      <c r="M162" s="108"/>
      <c r="N162" s="110"/>
      <c r="O162" s="107"/>
      <c r="P162" s="107"/>
      <c r="Q162" s="107"/>
    </row>
    <row r="163" spans="1:17" s="111" customFormat="1">
      <c r="A163" s="78"/>
      <c r="B163" s="108"/>
      <c r="C163" s="109"/>
      <c r="D163" s="108"/>
      <c r="E163" s="108"/>
      <c r="F163" s="108"/>
      <c r="G163" s="108"/>
      <c r="H163" s="108"/>
      <c r="I163" s="108"/>
      <c r="J163" s="108"/>
      <c r="K163" s="109"/>
      <c r="L163" s="108"/>
      <c r="M163" s="108"/>
      <c r="N163" s="110"/>
      <c r="O163" s="107"/>
      <c r="P163" s="107"/>
      <c r="Q163" s="107"/>
    </row>
    <row r="164" spans="1:17" s="111" customFormat="1">
      <c r="A164" s="78"/>
      <c r="B164" s="108"/>
      <c r="C164" s="109"/>
      <c r="D164" s="108"/>
      <c r="E164" s="108"/>
      <c r="F164" s="108"/>
      <c r="G164" s="108"/>
      <c r="H164" s="108"/>
      <c r="I164" s="108"/>
      <c r="J164" s="108"/>
      <c r="K164" s="109"/>
      <c r="L164" s="108"/>
      <c r="M164" s="108"/>
      <c r="N164" s="110"/>
      <c r="O164" s="107"/>
      <c r="P164" s="107"/>
      <c r="Q164" s="107"/>
    </row>
    <row r="165" spans="1:17" s="111" customFormat="1">
      <c r="A165" s="78"/>
      <c r="B165" s="108"/>
      <c r="C165" s="109"/>
      <c r="D165" s="108"/>
      <c r="E165" s="108"/>
      <c r="F165" s="108"/>
      <c r="G165" s="108"/>
      <c r="H165" s="108"/>
      <c r="I165" s="108"/>
      <c r="J165" s="108"/>
      <c r="K165" s="109"/>
      <c r="L165" s="108"/>
      <c r="M165" s="108"/>
      <c r="N165" s="110"/>
      <c r="O165" s="107"/>
      <c r="P165" s="107"/>
      <c r="Q165" s="107"/>
    </row>
    <row r="166" spans="1:17" s="111" customFormat="1">
      <c r="A166" s="78"/>
      <c r="B166" s="108"/>
      <c r="C166" s="109"/>
      <c r="D166" s="108"/>
      <c r="E166" s="108"/>
      <c r="F166" s="108"/>
      <c r="G166" s="108"/>
      <c r="H166" s="108"/>
      <c r="I166" s="108"/>
      <c r="J166" s="108"/>
      <c r="K166" s="109"/>
      <c r="L166" s="108"/>
      <c r="M166" s="108"/>
      <c r="N166" s="110"/>
      <c r="O166" s="107"/>
      <c r="P166" s="107"/>
      <c r="Q166" s="107"/>
    </row>
    <row r="167" spans="1:17" s="111" customFormat="1">
      <c r="A167" s="78"/>
      <c r="B167" s="108"/>
      <c r="C167" s="109"/>
      <c r="D167" s="108"/>
      <c r="E167" s="108"/>
      <c r="F167" s="108"/>
      <c r="G167" s="108"/>
      <c r="H167" s="108"/>
      <c r="I167" s="108"/>
      <c r="J167" s="108"/>
      <c r="K167" s="109"/>
      <c r="L167" s="108"/>
      <c r="M167" s="108"/>
      <c r="N167" s="110"/>
      <c r="O167" s="107"/>
      <c r="P167" s="107"/>
      <c r="Q167" s="107"/>
    </row>
    <row r="168" spans="1:17" s="111" customFormat="1">
      <c r="A168" s="78"/>
      <c r="B168" s="108"/>
      <c r="C168" s="109"/>
      <c r="D168" s="108"/>
      <c r="E168" s="108"/>
      <c r="F168" s="108"/>
      <c r="G168" s="108"/>
      <c r="H168" s="108"/>
      <c r="I168" s="108"/>
      <c r="J168" s="108"/>
      <c r="K168" s="109"/>
      <c r="L168" s="108"/>
      <c r="M168" s="108"/>
      <c r="N168" s="110"/>
      <c r="O168" s="107"/>
      <c r="P168" s="107"/>
      <c r="Q168" s="107"/>
    </row>
    <row r="169" spans="1:17" s="111" customFormat="1">
      <c r="A169" s="78"/>
      <c r="B169" s="108"/>
      <c r="C169" s="109"/>
      <c r="D169" s="108"/>
      <c r="E169" s="108"/>
      <c r="F169" s="108"/>
      <c r="G169" s="108"/>
      <c r="H169" s="108"/>
      <c r="I169" s="108"/>
      <c r="J169" s="108"/>
      <c r="K169" s="109"/>
      <c r="L169" s="108"/>
      <c r="M169" s="108"/>
      <c r="N169" s="110"/>
      <c r="O169" s="107"/>
      <c r="P169" s="107"/>
      <c r="Q169" s="107"/>
    </row>
    <row r="170" spans="1:17" s="111" customFormat="1">
      <c r="A170" s="78"/>
      <c r="B170" s="108"/>
      <c r="C170" s="109"/>
      <c r="D170" s="108"/>
      <c r="E170" s="108"/>
      <c r="F170" s="108"/>
      <c r="G170" s="108"/>
      <c r="H170" s="108"/>
      <c r="I170" s="108"/>
      <c r="J170" s="108"/>
      <c r="K170" s="109"/>
      <c r="L170" s="108"/>
      <c r="M170" s="108"/>
      <c r="N170" s="110"/>
      <c r="O170" s="107"/>
      <c r="P170" s="107"/>
      <c r="Q170" s="107"/>
    </row>
    <row r="171" spans="1:17" s="111" customFormat="1">
      <c r="A171" s="78"/>
      <c r="B171" s="108"/>
      <c r="C171" s="109"/>
      <c r="D171" s="108"/>
      <c r="E171" s="108"/>
      <c r="F171" s="108"/>
      <c r="G171" s="108"/>
      <c r="H171" s="108"/>
      <c r="I171" s="108"/>
      <c r="J171" s="108"/>
      <c r="K171" s="109"/>
      <c r="L171" s="108"/>
      <c r="M171" s="108"/>
      <c r="N171" s="110"/>
      <c r="O171" s="107"/>
      <c r="P171" s="107"/>
      <c r="Q171" s="107"/>
    </row>
    <row r="172" spans="1:17" s="111" customFormat="1">
      <c r="A172" s="78"/>
      <c r="B172" s="108"/>
      <c r="C172" s="109"/>
      <c r="D172" s="108"/>
      <c r="E172" s="108"/>
      <c r="F172" s="108"/>
      <c r="G172" s="108"/>
      <c r="H172" s="108"/>
      <c r="I172" s="108"/>
      <c r="J172" s="108"/>
      <c r="K172" s="109"/>
      <c r="L172" s="108"/>
      <c r="M172" s="108"/>
      <c r="N172" s="110"/>
      <c r="O172" s="107"/>
      <c r="P172" s="107"/>
      <c r="Q172" s="107"/>
    </row>
    <row r="173" spans="1:17" s="111" customFormat="1">
      <c r="A173" s="78"/>
      <c r="B173" s="108"/>
      <c r="C173" s="109"/>
      <c r="D173" s="108"/>
      <c r="E173" s="108"/>
      <c r="F173" s="108"/>
      <c r="G173" s="108"/>
      <c r="H173" s="108"/>
      <c r="I173" s="108"/>
      <c r="J173" s="108"/>
      <c r="K173" s="109"/>
      <c r="L173" s="108"/>
      <c r="M173" s="108"/>
      <c r="N173" s="110"/>
      <c r="O173" s="107"/>
      <c r="P173" s="107"/>
      <c r="Q173" s="107"/>
    </row>
    <row r="174" spans="1:17" s="111" customFormat="1">
      <c r="A174" s="78"/>
      <c r="B174" s="108"/>
      <c r="C174" s="109"/>
      <c r="D174" s="108"/>
      <c r="E174" s="108"/>
      <c r="F174" s="108"/>
      <c r="G174" s="108"/>
      <c r="H174" s="108"/>
      <c r="I174" s="108"/>
      <c r="J174" s="108"/>
      <c r="K174" s="109"/>
      <c r="L174" s="108"/>
      <c r="M174" s="108"/>
      <c r="N174" s="110"/>
      <c r="O174" s="107"/>
      <c r="P174" s="107"/>
      <c r="Q174" s="107"/>
    </row>
    <row r="175" spans="1:17" s="111" customFormat="1">
      <c r="A175" s="78"/>
      <c r="B175" s="108"/>
      <c r="C175" s="109"/>
      <c r="D175" s="108"/>
      <c r="E175" s="108"/>
      <c r="F175" s="108"/>
      <c r="G175" s="108"/>
      <c r="H175" s="108"/>
      <c r="I175" s="108"/>
      <c r="J175" s="108"/>
      <c r="K175" s="109"/>
      <c r="L175" s="108"/>
      <c r="M175" s="108"/>
      <c r="N175" s="110"/>
      <c r="O175" s="107"/>
      <c r="P175" s="107"/>
      <c r="Q175" s="107"/>
    </row>
    <row r="176" spans="1:17" s="111" customFormat="1">
      <c r="A176" s="78"/>
      <c r="B176" s="108"/>
      <c r="C176" s="109"/>
      <c r="D176" s="108"/>
      <c r="E176" s="108"/>
      <c r="F176" s="108"/>
      <c r="G176" s="108"/>
      <c r="H176" s="108"/>
      <c r="I176" s="108"/>
      <c r="J176" s="108"/>
      <c r="K176" s="109"/>
      <c r="L176" s="108"/>
      <c r="M176" s="108"/>
      <c r="N176" s="110"/>
      <c r="O176" s="107"/>
      <c r="P176" s="107"/>
      <c r="Q176" s="107"/>
    </row>
    <row r="177" spans="1:17" s="111" customFormat="1">
      <c r="A177" s="78"/>
      <c r="B177" s="108"/>
      <c r="C177" s="109"/>
      <c r="D177" s="108"/>
      <c r="E177" s="108"/>
      <c r="F177" s="108"/>
      <c r="G177" s="108"/>
      <c r="H177" s="108"/>
      <c r="I177" s="108"/>
      <c r="J177" s="108"/>
      <c r="K177" s="109"/>
      <c r="L177" s="108"/>
      <c r="M177" s="108"/>
      <c r="N177" s="110"/>
      <c r="O177" s="107"/>
      <c r="P177" s="107"/>
      <c r="Q177" s="107"/>
    </row>
    <row r="178" spans="1:17" s="111" customFormat="1">
      <c r="A178" s="78"/>
      <c r="B178" s="108"/>
      <c r="C178" s="109"/>
      <c r="D178" s="108"/>
      <c r="E178" s="108"/>
      <c r="F178" s="108"/>
      <c r="G178" s="108"/>
      <c r="H178" s="108"/>
      <c r="I178" s="108"/>
      <c r="J178" s="108"/>
      <c r="K178" s="109"/>
      <c r="L178" s="108"/>
      <c r="M178" s="108"/>
      <c r="N178" s="110"/>
      <c r="O178" s="107"/>
      <c r="P178" s="107"/>
      <c r="Q178" s="107"/>
    </row>
    <row r="179" spans="1:17" s="111" customFormat="1">
      <c r="A179" s="78"/>
      <c r="B179" s="108"/>
      <c r="C179" s="109"/>
      <c r="D179" s="108"/>
      <c r="E179" s="108"/>
      <c r="F179" s="108"/>
      <c r="G179" s="108"/>
      <c r="H179" s="108"/>
      <c r="I179" s="108"/>
      <c r="J179" s="108"/>
      <c r="K179" s="109"/>
      <c r="L179" s="108"/>
      <c r="M179" s="108"/>
      <c r="N179" s="110"/>
      <c r="O179" s="107"/>
      <c r="P179" s="107"/>
      <c r="Q179" s="107"/>
    </row>
    <row r="180" spans="1:17" s="111" customFormat="1">
      <c r="A180" s="78"/>
      <c r="B180" s="108"/>
      <c r="C180" s="109"/>
      <c r="D180" s="108"/>
      <c r="E180" s="108"/>
      <c r="F180" s="108"/>
      <c r="G180" s="108"/>
      <c r="H180" s="108"/>
      <c r="I180" s="108"/>
      <c r="J180" s="108"/>
      <c r="K180" s="109"/>
      <c r="L180" s="108"/>
      <c r="M180" s="108"/>
      <c r="N180" s="110"/>
      <c r="O180" s="107"/>
      <c r="P180" s="107"/>
      <c r="Q180" s="107"/>
    </row>
    <row r="181" spans="1:17" s="111" customFormat="1">
      <c r="A181" s="78"/>
      <c r="B181" s="108"/>
      <c r="C181" s="109"/>
      <c r="D181" s="108"/>
      <c r="E181" s="108"/>
      <c r="F181" s="108"/>
      <c r="G181" s="108"/>
      <c r="H181" s="108"/>
      <c r="I181" s="108"/>
      <c r="J181" s="108"/>
      <c r="K181" s="109"/>
      <c r="L181" s="108"/>
      <c r="M181" s="108"/>
      <c r="N181" s="110"/>
      <c r="O181" s="107"/>
      <c r="P181" s="107"/>
      <c r="Q181" s="107"/>
    </row>
    <row r="182" spans="1:17" s="111" customFormat="1">
      <c r="A182" s="78"/>
      <c r="B182" s="108"/>
      <c r="C182" s="109"/>
      <c r="D182" s="108"/>
      <c r="E182" s="108"/>
      <c r="F182" s="108"/>
      <c r="G182" s="108"/>
      <c r="H182" s="108"/>
      <c r="I182" s="108"/>
      <c r="J182" s="108"/>
      <c r="K182" s="109"/>
      <c r="L182" s="108"/>
      <c r="M182" s="108"/>
      <c r="N182" s="110"/>
      <c r="O182" s="107"/>
      <c r="P182" s="107"/>
      <c r="Q182" s="107"/>
    </row>
    <row r="183" spans="1:17" s="111" customFormat="1">
      <c r="A183" s="78"/>
      <c r="B183" s="108"/>
      <c r="C183" s="109"/>
      <c r="D183" s="108"/>
      <c r="E183" s="108"/>
      <c r="F183" s="108"/>
      <c r="G183" s="108"/>
      <c r="H183" s="108"/>
      <c r="I183" s="108"/>
      <c r="J183" s="108"/>
      <c r="K183" s="109"/>
      <c r="L183" s="108"/>
      <c r="M183" s="108"/>
      <c r="N183" s="110"/>
      <c r="O183" s="107"/>
      <c r="P183" s="107"/>
      <c r="Q183" s="107"/>
    </row>
    <row r="184" spans="1:17" s="111" customFormat="1">
      <c r="A184" s="78"/>
      <c r="B184" s="108"/>
      <c r="C184" s="109"/>
      <c r="D184" s="108"/>
      <c r="E184" s="108"/>
      <c r="F184" s="108"/>
      <c r="G184" s="108"/>
      <c r="H184" s="108"/>
      <c r="I184" s="108"/>
      <c r="J184" s="108"/>
      <c r="K184" s="109"/>
      <c r="L184" s="108"/>
      <c r="M184" s="108"/>
      <c r="N184" s="110"/>
      <c r="O184" s="107"/>
      <c r="P184" s="107"/>
      <c r="Q184" s="107"/>
    </row>
    <row r="185" spans="1:17" s="111" customFormat="1">
      <c r="A185" s="78"/>
      <c r="B185" s="108"/>
      <c r="C185" s="109"/>
      <c r="D185" s="108"/>
      <c r="E185" s="108"/>
      <c r="F185" s="108"/>
      <c r="G185" s="108"/>
      <c r="H185" s="108"/>
      <c r="I185" s="108"/>
      <c r="J185" s="108"/>
      <c r="K185" s="109"/>
      <c r="L185" s="108"/>
      <c r="M185" s="108"/>
      <c r="N185" s="110"/>
      <c r="O185" s="107"/>
      <c r="P185" s="107"/>
      <c r="Q185" s="107"/>
    </row>
    <row r="186" spans="1:17" s="111" customFormat="1">
      <c r="A186" s="78"/>
      <c r="B186" s="108"/>
      <c r="C186" s="109"/>
      <c r="D186" s="108"/>
      <c r="E186" s="108"/>
      <c r="F186" s="108"/>
      <c r="G186" s="108"/>
      <c r="H186" s="108"/>
      <c r="I186" s="108"/>
      <c r="J186" s="108"/>
      <c r="K186" s="109"/>
      <c r="L186" s="108"/>
      <c r="M186" s="108"/>
      <c r="N186" s="110"/>
      <c r="O186" s="107"/>
      <c r="P186" s="107"/>
      <c r="Q186" s="107"/>
    </row>
    <row r="187" spans="1:17" s="111" customFormat="1">
      <c r="A187" s="78"/>
      <c r="B187" s="108"/>
      <c r="C187" s="109"/>
      <c r="D187" s="108"/>
      <c r="E187" s="108"/>
      <c r="F187" s="108"/>
      <c r="G187" s="108"/>
      <c r="H187" s="108"/>
      <c r="I187" s="108"/>
      <c r="J187" s="108"/>
      <c r="K187" s="109"/>
      <c r="L187" s="108"/>
      <c r="M187" s="108"/>
      <c r="N187" s="110"/>
      <c r="O187" s="107"/>
      <c r="P187" s="107"/>
      <c r="Q187" s="107"/>
    </row>
    <row r="188" spans="1:17" s="111" customFormat="1">
      <c r="A188" s="78"/>
      <c r="B188" s="108"/>
      <c r="C188" s="109"/>
      <c r="D188" s="108"/>
      <c r="E188" s="108"/>
      <c r="F188" s="108"/>
      <c r="G188" s="108"/>
      <c r="H188" s="108"/>
      <c r="I188" s="108"/>
      <c r="J188" s="108"/>
      <c r="K188" s="109"/>
      <c r="L188" s="108"/>
      <c r="M188" s="108"/>
      <c r="N188" s="110"/>
      <c r="O188" s="107"/>
      <c r="P188" s="107"/>
      <c r="Q188" s="107"/>
    </row>
    <row r="189" spans="1:17" s="111" customFormat="1">
      <c r="A189" s="78"/>
      <c r="B189" s="108"/>
      <c r="C189" s="109"/>
      <c r="D189" s="108"/>
      <c r="E189" s="108"/>
      <c r="F189" s="108"/>
      <c r="G189" s="108"/>
      <c r="H189" s="108"/>
      <c r="I189" s="108"/>
      <c r="J189" s="108"/>
      <c r="K189" s="109"/>
      <c r="L189" s="108"/>
      <c r="M189" s="108"/>
      <c r="N189" s="110"/>
      <c r="O189" s="107"/>
      <c r="P189" s="107"/>
      <c r="Q189" s="107"/>
    </row>
    <row r="190" spans="1:17" s="111" customFormat="1">
      <c r="A190" s="78"/>
      <c r="B190" s="108"/>
      <c r="C190" s="109"/>
      <c r="D190" s="108"/>
      <c r="E190" s="108"/>
      <c r="F190" s="108"/>
      <c r="G190" s="108"/>
      <c r="H190" s="108"/>
      <c r="I190" s="108"/>
      <c r="J190" s="108"/>
      <c r="K190" s="109"/>
      <c r="L190" s="108"/>
      <c r="M190" s="108"/>
      <c r="N190" s="110"/>
      <c r="O190" s="107"/>
      <c r="P190" s="107"/>
      <c r="Q190" s="107"/>
    </row>
    <row r="191" spans="1:17" s="111" customFormat="1">
      <c r="A191" s="78"/>
      <c r="B191" s="108"/>
      <c r="C191" s="109"/>
      <c r="D191" s="108"/>
      <c r="E191" s="108"/>
      <c r="F191" s="108"/>
      <c r="G191" s="108"/>
      <c r="H191" s="108"/>
      <c r="I191" s="108"/>
      <c r="J191" s="108"/>
      <c r="K191" s="109"/>
      <c r="L191" s="108"/>
      <c r="M191" s="108"/>
      <c r="N191" s="110"/>
      <c r="O191" s="107"/>
      <c r="P191" s="107"/>
      <c r="Q191" s="107"/>
    </row>
    <row r="192" spans="1:17" s="111" customFormat="1">
      <c r="A192" s="78"/>
      <c r="B192" s="108"/>
      <c r="C192" s="109"/>
      <c r="D192" s="108"/>
      <c r="E192" s="108"/>
      <c r="F192" s="108"/>
      <c r="G192" s="108"/>
      <c r="H192" s="108"/>
      <c r="I192" s="108"/>
      <c r="J192" s="108"/>
      <c r="K192" s="109"/>
      <c r="L192" s="108"/>
      <c r="M192" s="108"/>
      <c r="N192" s="110"/>
      <c r="O192" s="107"/>
      <c r="P192" s="107"/>
      <c r="Q192" s="107"/>
    </row>
  </sheetData>
  <protectedRanges>
    <protectedRange sqref="A73:N82" name="Friday"/>
    <protectedRange sqref="A62:N71" name="Thursday"/>
    <protectedRange sqref="A51:N60" name="Wednesday"/>
    <protectedRange sqref="A38:N47" name="Tuesday"/>
    <protectedRange sqref="A27:N36" name="Monday"/>
    <protectedRange sqref="B3:N3" name="Tailors"/>
    <protectedRange sqref="A5:N14" name="Saturday"/>
    <protectedRange sqref="A16:N25" name="Sunday"/>
    <protectedRange sqref="B86:N87" name="Advances"/>
  </protectedRanges>
  <mergeCells count="5">
    <mergeCell ref="A1:D1"/>
    <mergeCell ref="E1:F1"/>
    <mergeCell ref="G1:H1"/>
    <mergeCell ref="A84:C84"/>
    <mergeCell ref="A90:C90"/>
  </mergeCells>
  <dataValidations count="2">
    <dataValidation type="list" allowBlank="1" showInputMessage="1" showErrorMessage="1" sqref="A83 A193:A1048576">
      <formula1>[2]Item!$A$1:$A$89</formula1>
    </dataValidation>
    <dataValidation type="list" allowBlank="1" showInputMessage="1" showErrorMessage="1" sqref="A38:A47 A51:A60 A62:A71 A73:A82 A27:A36 A16:A25 A5:A14">
      <formula1>Products!$A$2:$A$89</formula1>
    </dataValidation>
  </dataValidations>
  <pageMargins left="0.7" right="0.7" top="0.75" bottom="0.75" header="0.3" footer="0.3"/>
  <pageSetup paperSize="9" scale="80" orientation="landscape" r:id="rId1"/>
  <rowBreaks count="2" manualBreakCount="2">
    <brk id="47" max="15" man="1"/>
    <brk id="89" max="15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P100"/>
  <sheetViews>
    <sheetView view="pageBreakPreview" zoomScaleSheetLayoutView="100" workbookViewId="0">
      <selection activeCell="A5" sqref="A5:C5"/>
    </sheetView>
  </sheetViews>
  <sheetFormatPr defaultRowHeight="15"/>
  <cols>
    <col min="1" max="1" width="13.5703125" style="44" bestFit="1" customWidth="1"/>
    <col min="2" max="5" width="11.5703125" customWidth="1"/>
    <col min="6" max="6" width="14.5703125" customWidth="1"/>
    <col min="7" max="7" width="11.5703125" style="104" bestFit="1" customWidth="1"/>
    <col min="8" max="8" width="11.85546875" bestFit="1" customWidth="1"/>
    <col min="9" max="9" width="11.140625" customWidth="1"/>
    <col min="10" max="10" width="11.28515625" bestFit="1" customWidth="1"/>
    <col min="11" max="11" width="10.5703125" bestFit="1" customWidth="1"/>
    <col min="12" max="12" width="12.85546875" bestFit="1" customWidth="1"/>
    <col min="13" max="13" width="9.5703125" customWidth="1"/>
    <col min="14" max="14" width="11.28515625" bestFit="1" customWidth="1"/>
    <col min="15" max="15" width="13.5703125" bestFit="1" customWidth="1"/>
  </cols>
  <sheetData>
    <row r="1" spans="1:16" ht="39">
      <c r="A1" s="112" t="s">
        <v>186</v>
      </c>
      <c r="B1" s="113">
        <f>[3]Summary!$B$2</f>
        <v>6838.08</v>
      </c>
      <c r="C1" s="113">
        <f>[3]Summary!$C$2</f>
        <v>0</v>
      </c>
      <c r="D1" s="113">
        <f>[3]Summary!$D$2</f>
        <v>0</v>
      </c>
      <c r="E1" s="113">
        <f>[3]Summary!$E$2</f>
        <v>1046.6500000000001</v>
      </c>
      <c r="F1" s="113">
        <f>[3]Summary!$F$2</f>
        <v>4002.7</v>
      </c>
      <c r="G1" s="113">
        <f>[3]Summary!$G$2</f>
        <v>6618.7</v>
      </c>
      <c r="H1" s="113">
        <f>[3]Summary!$H$2</f>
        <v>4723.75</v>
      </c>
      <c r="I1" s="113">
        <f>[3]Summary!$I$2</f>
        <v>5626.8</v>
      </c>
      <c r="J1" s="113">
        <f>[3]Summary!$J$2</f>
        <v>3039</v>
      </c>
      <c r="K1" s="113">
        <f>[3]Summary!$K$2</f>
        <v>0</v>
      </c>
      <c r="L1" s="113">
        <f>[3]Summary!$L$2</f>
        <v>0</v>
      </c>
      <c r="M1" s="113" t="e">
        <f>[3]Summary!$M$2</f>
        <v>#VALUE!</v>
      </c>
      <c r="N1" s="113">
        <f>[3]Summary!$N$2</f>
        <v>0</v>
      </c>
    </row>
    <row r="2" spans="1:16" ht="39">
      <c r="A2" s="112" t="s">
        <v>187</v>
      </c>
      <c r="B2" s="113">
        <f t="shared" ref="B2:N2" si="0">B1+B8-B9-B10</f>
        <v>6838.08</v>
      </c>
      <c r="C2" s="113">
        <f t="shared" si="0"/>
        <v>0</v>
      </c>
      <c r="D2" s="113">
        <f t="shared" si="0"/>
        <v>0</v>
      </c>
      <c r="E2" s="113">
        <f t="shared" si="0"/>
        <v>1046.6500000000001</v>
      </c>
      <c r="F2" s="113">
        <f t="shared" si="0"/>
        <v>4002.7</v>
      </c>
      <c r="G2" s="113">
        <f t="shared" si="0"/>
        <v>6618.7</v>
      </c>
      <c r="H2" s="113">
        <f t="shared" si="0"/>
        <v>4723.75</v>
      </c>
      <c r="I2" s="113">
        <f t="shared" si="0"/>
        <v>5626.8</v>
      </c>
      <c r="J2" s="113">
        <f t="shared" si="0"/>
        <v>3039</v>
      </c>
      <c r="K2" s="113">
        <f t="shared" si="0"/>
        <v>0</v>
      </c>
      <c r="L2" s="113">
        <f t="shared" si="0"/>
        <v>0</v>
      </c>
      <c r="M2" s="113" t="e">
        <f t="shared" si="0"/>
        <v>#VALUE!</v>
      </c>
      <c r="N2" s="113">
        <f t="shared" si="0"/>
        <v>0</v>
      </c>
      <c r="P2" s="114"/>
    </row>
    <row r="3" spans="1:16" ht="5.25" customHeight="1">
      <c r="A3" s="115"/>
      <c r="B3" s="115"/>
      <c r="C3" s="115"/>
      <c r="D3" s="115"/>
      <c r="E3" s="116"/>
      <c r="F3" s="116"/>
      <c r="G3" s="117"/>
      <c r="H3" s="117"/>
      <c r="I3" s="118"/>
      <c r="J3" s="118"/>
      <c r="K3" s="118"/>
      <c r="L3" s="118"/>
      <c r="M3" s="118"/>
    </row>
    <row r="4" spans="1:16" ht="5.25" customHeight="1" thickBot="1">
      <c r="A4" s="115"/>
      <c r="B4" s="115"/>
      <c r="C4" s="115"/>
      <c r="D4" s="115"/>
      <c r="E4" s="116"/>
      <c r="F4" s="116"/>
      <c r="G4" s="117"/>
      <c r="H4" s="117"/>
      <c r="I4" s="118"/>
      <c r="J4" s="118"/>
      <c r="K4" s="118"/>
      <c r="L4" s="118"/>
      <c r="M4" s="118"/>
    </row>
    <row r="5" spans="1:16" ht="15" customHeight="1" thickBot="1">
      <c r="A5" s="119" t="s">
        <v>188</v>
      </c>
      <c r="B5" s="120"/>
      <c r="C5" s="121"/>
      <c r="O5" s="122"/>
    </row>
    <row r="6" spans="1:16" ht="15" customHeight="1" thickTop="1" thickBot="1">
      <c r="A6" s="123"/>
      <c r="B6" s="106" t="str">
        <f>'[2]Data Input Sheet'!B3</f>
        <v>Kumar-C</v>
      </c>
      <c r="C6" s="106" t="str">
        <f>'[2]Data Input Sheet'!C3</f>
        <v>Selvaraj-C</v>
      </c>
      <c r="D6" s="106" t="str">
        <f>'[2]Data Input Sheet'!D3</f>
        <v>Kumar</v>
      </c>
      <c r="E6" s="106" t="str">
        <f>'[2]Data Input Sheet'!E3</f>
        <v>Selvaraj</v>
      </c>
      <c r="F6" s="106" t="str">
        <f>'[2]Data Input Sheet'!F3</f>
        <v>Rathinam</v>
      </c>
      <c r="G6" s="106" t="str">
        <f>'[2]Data Input Sheet'!G3</f>
        <v>Kanagraj</v>
      </c>
      <c r="H6" s="106" t="str">
        <f>'[2]Data Input Sheet'!H3</f>
        <v>Loganathan</v>
      </c>
      <c r="I6" s="106" t="str">
        <f>'[2]Data Input Sheet'!I3</f>
        <v>Marshall</v>
      </c>
      <c r="J6" s="106" t="str">
        <f>'[2]Data Input Sheet'!J3</f>
        <v>Sathish</v>
      </c>
      <c r="K6" s="106" t="str">
        <f>'[2]Data Input Sheet'!K3</f>
        <v>[Tailor]</v>
      </c>
      <c r="L6" s="106" t="str">
        <f>'[2]Data Input Sheet'!L3</f>
        <v>HW1</v>
      </c>
      <c r="M6" s="106" t="str">
        <f>'[2]Data Input Sheet'!M3</f>
        <v>HW 2</v>
      </c>
      <c r="N6" s="124" t="str">
        <f>'[2]Data Input Sheet'!N3</f>
        <v>HW 3</v>
      </c>
    </row>
    <row r="7" spans="1:16" ht="15" customHeight="1"/>
    <row r="8" spans="1:16" ht="26.25">
      <c r="A8" s="112" t="s">
        <v>189</v>
      </c>
      <c r="B8" s="113">
        <f>SUM(AC:AC)</f>
        <v>0</v>
      </c>
      <c r="C8" s="113">
        <f>SUM(AE:AE)</f>
        <v>0</v>
      </c>
      <c r="D8" s="113">
        <f>SUM(AG:AG)</f>
        <v>0</v>
      </c>
      <c r="E8" s="113">
        <f>SUM(AI:AI)</f>
        <v>0</v>
      </c>
      <c r="F8" s="113">
        <f>SUM(AK:AK)</f>
        <v>0</v>
      </c>
      <c r="G8" s="113">
        <f>SUM(AM:AM)</f>
        <v>0</v>
      </c>
      <c r="H8" s="113">
        <f>SUM(AO:AO)</f>
        <v>0</v>
      </c>
      <c r="I8" s="113">
        <f>SUM(AQ:AQ)</f>
        <v>0</v>
      </c>
      <c r="J8" s="113">
        <f>SUM(AS:AS)</f>
        <v>0</v>
      </c>
      <c r="K8" s="113">
        <f>SUM(AU:AU)</f>
        <v>0</v>
      </c>
      <c r="L8" s="113">
        <f>SUM(AW:AW)</f>
        <v>0</v>
      </c>
      <c r="M8" s="113">
        <f>SUM(AY:AY)</f>
        <v>0</v>
      </c>
      <c r="N8" s="113">
        <f>SUM(BA:BA)</f>
        <v>0</v>
      </c>
      <c r="O8" s="125">
        <f>SUM(B8:N8)</f>
        <v>0</v>
      </c>
    </row>
    <row r="9" spans="1:16" ht="26.25">
      <c r="A9" s="112" t="s">
        <v>190</v>
      </c>
      <c r="B9" s="126">
        <f>'[2]Data Input Sheet'!B87</f>
        <v>0</v>
      </c>
      <c r="C9" s="126">
        <f>'[2]Data Input Sheet'!C87</f>
        <v>0</v>
      </c>
      <c r="D9" s="126">
        <f>'[2]Data Input Sheet'!D87</f>
        <v>0</v>
      </c>
      <c r="E9" s="126">
        <f>'[2]Data Input Sheet'!E87</f>
        <v>0</v>
      </c>
      <c r="F9" s="126">
        <f>'[2]Data Input Sheet'!F87</f>
        <v>0</v>
      </c>
      <c r="G9" s="126">
        <f>'[2]Data Input Sheet'!G87</f>
        <v>0</v>
      </c>
      <c r="H9" s="126">
        <f>'[2]Data Input Sheet'!H87</f>
        <v>0</v>
      </c>
      <c r="I9" s="126">
        <f>'[2]Data Input Sheet'!I87</f>
        <v>0</v>
      </c>
      <c r="J9" s="126">
        <f>'[2]Data Input Sheet'!J87</f>
        <v>0</v>
      </c>
      <c r="K9" s="126">
        <f>'[2]Data Input Sheet'!K87</f>
        <v>0</v>
      </c>
      <c r="L9" s="126">
        <f>'[2]Data Input Sheet'!L87</f>
        <v>0</v>
      </c>
      <c r="M9" s="126">
        <f>'[2]Data Input Sheet'!M87</f>
        <v>0</v>
      </c>
      <c r="N9" s="126">
        <f>'[2]Data Input Sheet'!N87</f>
        <v>0</v>
      </c>
      <c r="O9" s="125">
        <f t="shared" ref="O9:O10" si="1">SUM(B9:N9)</f>
        <v>0</v>
      </c>
    </row>
    <row r="10" spans="1:16">
      <c r="A10" s="127" t="s">
        <v>191</v>
      </c>
      <c r="B10" s="128">
        <v>0</v>
      </c>
      <c r="C10" s="128">
        <v>0</v>
      </c>
      <c r="D10" s="128">
        <v>0</v>
      </c>
      <c r="E10" s="128">
        <v>0</v>
      </c>
      <c r="F10" s="128">
        <v>0</v>
      </c>
      <c r="G10" s="128">
        <v>0</v>
      </c>
      <c r="H10" s="128">
        <v>0</v>
      </c>
      <c r="I10" s="128">
        <v>0</v>
      </c>
      <c r="J10" s="128">
        <v>0</v>
      </c>
      <c r="K10" s="128">
        <v>0</v>
      </c>
      <c r="L10" s="128">
        <v>0</v>
      </c>
      <c r="M10" s="128">
        <v>0</v>
      </c>
      <c r="N10" s="128">
        <v>0</v>
      </c>
      <c r="O10" s="125">
        <f t="shared" si="1"/>
        <v>0</v>
      </c>
      <c r="P10" s="114"/>
    </row>
    <row r="12" spans="1:16" ht="15.75" customHeight="1">
      <c r="A12" s="129" t="s">
        <v>192</v>
      </c>
      <c r="B12" s="129"/>
      <c r="C12" s="129"/>
      <c r="D12" s="129"/>
      <c r="E12" s="130" t="s">
        <v>193</v>
      </c>
      <c r="F12" s="131" t="s">
        <v>194</v>
      </c>
      <c r="G12" s="131"/>
      <c r="H12" s="131"/>
      <c r="I12" s="132"/>
    </row>
    <row r="13" spans="1:16" ht="15.75" thickBot="1">
      <c r="A13" s="133"/>
      <c r="B13" s="134"/>
      <c r="C13" s="134"/>
      <c r="D13" s="134"/>
      <c r="E13" s="135"/>
      <c r="F13" s="134"/>
      <c r="G13" s="134"/>
      <c r="H13" s="136" t="s">
        <v>195</v>
      </c>
      <c r="I13" s="136"/>
    </row>
    <row r="14" spans="1:16" ht="15.75" thickTop="1">
      <c r="A14" s="137" t="s">
        <v>161</v>
      </c>
      <c r="B14" s="138" t="s">
        <v>158</v>
      </c>
      <c r="C14" s="138" t="s">
        <v>159</v>
      </c>
      <c r="D14" s="138" t="s">
        <v>196</v>
      </c>
      <c r="E14" s="139" t="s">
        <v>197</v>
      </c>
      <c r="F14" s="140" t="s">
        <v>198</v>
      </c>
      <c r="G14" s="140" t="s">
        <v>199</v>
      </c>
      <c r="H14" s="140" t="s">
        <v>200</v>
      </c>
      <c r="I14" s="141" t="s">
        <v>201</v>
      </c>
    </row>
    <row r="15" spans="1:16">
      <c r="A15"/>
      <c r="G15"/>
    </row>
    <row r="16" spans="1:16">
      <c r="A16"/>
      <c r="G16"/>
    </row>
    <row r="17" spans="1:7">
      <c r="A17"/>
      <c r="G17"/>
    </row>
    <row r="18" spans="1:7">
      <c r="A18"/>
      <c r="G18"/>
    </row>
    <row r="19" spans="1:7">
      <c r="A19"/>
      <c r="G19"/>
    </row>
    <row r="20" spans="1:7">
      <c r="A20"/>
      <c r="G20"/>
    </row>
    <row r="21" spans="1:7">
      <c r="A21"/>
      <c r="G21"/>
    </row>
    <row r="22" spans="1:7">
      <c r="A22"/>
      <c r="G22"/>
    </row>
    <row r="23" spans="1:7">
      <c r="A23"/>
      <c r="G23"/>
    </row>
    <row r="24" spans="1:7">
      <c r="A24"/>
      <c r="G24"/>
    </row>
    <row r="25" spans="1:7">
      <c r="A25"/>
      <c r="G25"/>
    </row>
    <row r="26" spans="1:7">
      <c r="A26"/>
      <c r="G26"/>
    </row>
    <row r="27" spans="1:7">
      <c r="A27"/>
      <c r="G27"/>
    </row>
    <row r="28" spans="1:7">
      <c r="A28"/>
      <c r="G28"/>
    </row>
    <row r="29" spans="1:7">
      <c r="A29"/>
      <c r="G29"/>
    </row>
    <row r="30" spans="1:7">
      <c r="A30"/>
      <c r="G30"/>
    </row>
    <row r="31" spans="1:7">
      <c r="A31"/>
      <c r="G31"/>
    </row>
    <row r="32" spans="1:7">
      <c r="A32"/>
      <c r="G32"/>
    </row>
    <row r="33" spans="1:7">
      <c r="A33"/>
      <c r="G33"/>
    </row>
    <row r="34" spans="1:7">
      <c r="A34"/>
      <c r="G34"/>
    </row>
    <row r="35" spans="1:7">
      <c r="A35"/>
      <c r="G35"/>
    </row>
    <row r="36" spans="1:7">
      <c r="A36"/>
      <c r="G36"/>
    </row>
    <row r="37" spans="1:7">
      <c r="A37"/>
      <c r="G37"/>
    </row>
    <row r="38" spans="1:7">
      <c r="A38"/>
      <c r="G38"/>
    </row>
    <row r="39" spans="1:7">
      <c r="A39"/>
      <c r="G39"/>
    </row>
    <row r="40" spans="1:7">
      <c r="A40"/>
      <c r="G40"/>
    </row>
    <row r="41" spans="1:7">
      <c r="A41"/>
      <c r="G41"/>
    </row>
    <row r="42" spans="1:7">
      <c r="A42"/>
      <c r="G42"/>
    </row>
    <row r="43" spans="1:7">
      <c r="A43"/>
      <c r="G43"/>
    </row>
    <row r="44" spans="1:7">
      <c r="A44"/>
      <c r="G44"/>
    </row>
    <row r="45" spans="1:7">
      <c r="A45"/>
      <c r="G45"/>
    </row>
    <row r="46" spans="1:7">
      <c r="A46"/>
      <c r="G46"/>
    </row>
    <row r="47" spans="1:7">
      <c r="A47"/>
      <c r="G47"/>
    </row>
    <row r="48" spans="1:7">
      <c r="A48"/>
      <c r="G48"/>
    </row>
    <row r="49" spans="1:7">
      <c r="A49"/>
      <c r="G49"/>
    </row>
    <row r="50" spans="1:7">
      <c r="A50"/>
      <c r="G50"/>
    </row>
    <row r="51" spans="1:7">
      <c r="A51"/>
      <c r="G51"/>
    </row>
    <row r="52" spans="1:7">
      <c r="A52"/>
      <c r="G52"/>
    </row>
    <row r="53" spans="1:7">
      <c r="A53"/>
      <c r="G53"/>
    </row>
    <row r="54" spans="1:7">
      <c r="A54"/>
      <c r="G54"/>
    </row>
    <row r="55" spans="1:7">
      <c r="A55"/>
      <c r="G55"/>
    </row>
    <row r="56" spans="1:7">
      <c r="A56"/>
      <c r="G56"/>
    </row>
    <row r="57" spans="1:7">
      <c r="A57"/>
      <c r="G57"/>
    </row>
    <row r="58" spans="1:7">
      <c r="A58"/>
      <c r="G58"/>
    </row>
    <row r="59" spans="1:7">
      <c r="A59"/>
      <c r="G59"/>
    </row>
    <row r="60" spans="1:7">
      <c r="A60"/>
      <c r="G60"/>
    </row>
    <row r="61" spans="1:7">
      <c r="A61"/>
      <c r="G61"/>
    </row>
    <row r="62" spans="1:7">
      <c r="A62"/>
      <c r="G62"/>
    </row>
    <row r="63" spans="1:7">
      <c r="A63"/>
      <c r="G63"/>
    </row>
    <row r="64" spans="1:7">
      <c r="A64"/>
      <c r="G64"/>
    </row>
    <row r="65" spans="1:7">
      <c r="A65"/>
      <c r="G65"/>
    </row>
    <row r="66" spans="1:7">
      <c r="A66"/>
      <c r="G66"/>
    </row>
    <row r="67" spans="1:7">
      <c r="A67"/>
      <c r="G67"/>
    </row>
    <row r="68" spans="1:7">
      <c r="A68"/>
      <c r="G68"/>
    </row>
    <row r="69" spans="1:7">
      <c r="A69"/>
      <c r="G69"/>
    </row>
    <row r="70" spans="1:7">
      <c r="A70"/>
      <c r="G70"/>
    </row>
    <row r="71" spans="1:7">
      <c r="A71"/>
      <c r="G71"/>
    </row>
    <row r="72" spans="1:7">
      <c r="A72"/>
      <c r="G72"/>
    </row>
    <row r="73" spans="1:7">
      <c r="A73"/>
      <c r="G73"/>
    </row>
    <row r="74" spans="1:7">
      <c r="A74"/>
      <c r="G74"/>
    </row>
    <row r="75" spans="1:7">
      <c r="A75"/>
      <c r="G75"/>
    </row>
    <row r="76" spans="1:7">
      <c r="A76"/>
      <c r="G76"/>
    </row>
    <row r="77" spans="1:7">
      <c r="A77"/>
      <c r="G77"/>
    </row>
    <row r="78" spans="1:7">
      <c r="A78"/>
      <c r="G78"/>
    </row>
    <row r="79" spans="1:7">
      <c r="A79"/>
      <c r="G79"/>
    </row>
    <row r="80" spans="1:7">
      <c r="A80"/>
      <c r="G80"/>
    </row>
    <row r="81" spans="1:7">
      <c r="A81"/>
      <c r="G81"/>
    </row>
    <row r="82" spans="1:7">
      <c r="A82"/>
      <c r="G82"/>
    </row>
    <row r="83" spans="1:7">
      <c r="A83"/>
      <c r="G83"/>
    </row>
    <row r="84" spans="1:7">
      <c r="A84"/>
      <c r="G84"/>
    </row>
    <row r="85" spans="1:7">
      <c r="A85"/>
      <c r="G85"/>
    </row>
    <row r="86" spans="1:7">
      <c r="A86"/>
      <c r="G86"/>
    </row>
    <row r="87" spans="1:7">
      <c r="A87"/>
      <c r="G87"/>
    </row>
    <row r="88" spans="1:7">
      <c r="A88"/>
      <c r="G88"/>
    </row>
    <row r="89" spans="1:7">
      <c r="A89"/>
      <c r="G89"/>
    </row>
    <row r="90" spans="1:7">
      <c r="A90"/>
      <c r="G90"/>
    </row>
    <row r="91" spans="1:7">
      <c r="A91"/>
      <c r="G91"/>
    </row>
    <row r="92" spans="1:7">
      <c r="A92"/>
      <c r="G92"/>
    </row>
    <row r="93" spans="1:7">
      <c r="A93"/>
      <c r="G93"/>
    </row>
    <row r="94" spans="1:7">
      <c r="A94"/>
      <c r="G94"/>
    </row>
    <row r="95" spans="1:7">
      <c r="A95"/>
      <c r="G95"/>
    </row>
    <row r="96" spans="1:7">
      <c r="A96"/>
      <c r="G96"/>
    </row>
    <row r="97" spans="1:7">
      <c r="A97"/>
      <c r="G97"/>
    </row>
    <row r="98" spans="1:7">
      <c r="A98"/>
      <c r="G98"/>
    </row>
    <row r="99" spans="1:7">
      <c r="A99"/>
      <c r="G99"/>
    </row>
    <row r="100" spans="1:7">
      <c r="A100"/>
      <c r="G100"/>
    </row>
  </sheetData>
  <sheetProtection password="8A29" sheet="1" objects="1" scenarios="1" formatColumns="0" formatRows="0"/>
  <protectedRanges>
    <protectedRange sqref="B15:E96" name="Range3"/>
    <protectedRange sqref="A12" name="Labour Rate Schedule_1"/>
    <protectedRange password="C606" sqref="B10:N10" name="Range1"/>
  </protectedRanges>
  <mergeCells count="5">
    <mergeCell ref="A5:C5"/>
    <mergeCell ref="A12:D12"/>
    <mergeCell ref="E12:E13"/>
    <mergeCell ref="F12:H12"/>
    <mergeCell ref="H13:I13"/>
  </mergeCells>
  <hyperlinks>
    <hyperlink ref="A12" r:id="rId1" location="Sheet1!A1" display="Labor Rate Schedule"/>
    <hyperlink ref="E12:E13" r:id="rId2" display="Old Cumulative "/>
  </hyperlinks>
  <pageMargins left="0.7" right="0.7" top="0.75" bottom="0.75" header="0.3" footer="0.3"/>
  <pageSetup scale="70" orientation="landscape" r:id="rId3"/>
  <headerFooter>
    <oddHeader>&amp;CSummary of the week &amp;F</oddHeader>
    <oddFooter xml:space="preserve">&amp;CPrinted on &amp;D&amp;R
</oddFooter>
  </headerFooter>
  <legacy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151"/>
  <sheetViews>
    <sheetView workbookViewId="0">
      <selection activeCell="F15" sqref="F15"/>
    </sheetView>
  </sheetViews>
  <sheetFormatPr defaultRowHeight="15"/>
  <cols>
    <col min="1" max="1" width="12.7109375" customWidth="1"/>
    <col min="2" max="2" width="19.140625" customWidth="1"/>
    <col min="3" max="3" width="12.140625" customWidth="1"/>
  </cols>
  <sheetData>
    <row r="1" spans="1:7">
      <c r="A1" t="s">
        <v>0</v>
      </c>
      <c r="B1" t="s">
        <v>1</v>
      </c>
      <c r="C1" t="s">
        <v>2</v>
      </c>
      <c r="E1" t="s">
        <v>3</v>
      </c>
    </row>
    <row r="2" spans="1:7">
      <c r="A2" s="19" t="s">
        <v>4</v>
      </c>
      <c r="B2" s="19" t="s">
        <v>5</v>
      </c>
      <c r="C2" s="3">
        <v>1.4752000000000001</v>
      </c>
      <c r="E2" s="2" t="s">
        <v>6</v>
      </c>
      <c r="G2" s="2" t="s">
        <v>135</v>
      </c>
    </row>
    <row r="3" spans="1:7">
      <c r="A3" s="19" t="s">
        <v>4</v>
      </c>
      <c r="B3" s="19" t="s">
        <v>7</v>
      </c>
      <c r="C3" s="3">
        <v>2.3915000000000002</v>
      </c>
      <c r="E3" s="2" t="s">
        <v>8</v>
      </c>
      <c r="G3" s="2"/>
    </row>
    <row r="4" spans="1:7">
      <c r="A4" s="19" t="s">
        <v>4</v>
      </c>
      <c r="B4" s="19" t="s">
        <v>9</v>
      </c>
      <c r="C4" s="3">
        <v>3.1749000000000001</v>
      </c>
      <c r="E4" s="2" t="s">
        <v>10</v>
      </c>
      <c r="G4" s="2"/>
    </row>
    <row r="5" spans="1:7">
      <c r="A5" s="19" t="s">
        <v>4</v>
      </c>
      <c r="B5" s="19" t="s">
        <v>11</v>
      </c>
      <c r="C5" s="3">
        <v>1.528</v>
      </c>
      <c r="E5" s="2" t="s">
        <v>12</v>
      </c>
      <c r="G5" s="2"/>
    </row>
    <row r="6" spans="1:7">
      <c r="A6" s="19" t="s">
        <v>4</v>
      </c>
      <c r="B6" s="19" t="s">
        <v>13</v>
      </c>
      <c r="C6" s="3">
        <v>2.4293</v>
      </c>
      <c r="E6" s="2" t="s">
        <v>14</v>
      </c>
      <c r="G6" s="2"/>
    </row>
    <row r="7" spans="1:7">
      <c r="A7" s="19" t="s">
        <v>4</v>
      </c>
      <c r="B7" s="19" t="s">
        <v>15</v>
      </c>
      <c r="C7" s="3">
        <v>7.6233000000000004</v>
      </c>
      <c r="E7" s="2" t="s">
        <v>16</v>
      </c>
      <c r="G7" s="2"/>
    </row>
    <row r="8" spans="1:7">
      <c r="A8" s="19" t="s">
        <v>4</v>
      </c>
      <c r="B8" s="19" t="s">
        <v>17</v>
      </c>
      <c r="C8" s="3">
        <v>1.9837</v>
      </c>
      <c r="E8" s="2" t="s">
        <v>18</v>
      </c>
      <c r="G8" s="2"/>
    </row>
    <row r="9" spans="1:7">
      <c r="A9" s="19" t="s">
        <v>4</v>
      </c>
      <c r="B9" s="19" t="s">
        <v>19</v>
      </c>
      <c r="C9" s="3">
        <v>3.7082999999999999</v>
      </c>
      <c r="E9" s="2" t="s">
        <v>20</v>
      </c>
      <c r="G9" s="2"/>
    </row>
    <row r="10" spans="1:7">
      <c r="A10" s="19" t="s">
        <v>4</v>
      </c>
      <c r="B10" s="19" t="s">
        <v>21</v>
      </c>
      <c r="C10" s="3">
        <v>1.4420999999999999</v>
      </c>
      <c r="E10" s="2" t="s">
        <v>22</v>
      </c>
      <c r="G10" s="2"/>
    </row>
    <row r="11" spans="1:7">
      <c r="A11" s="19" t="s">
        <v>4</v>
      </c>
      <c r="B11" s="19" t="s">
        <v>23</v>
      </c>
      <c r="C11" s="3">
        <v>9.5399999999999999E-2</v>
      </c>
      <c r="E11" s="2" t="s">
        <v>24</v>
      </c>
      <c r="G11" s="2"/>
    </row>
    <row r="12" spans="1:7">
      <c r="A12" s="19" t="s">
        <v>4</v>
      </c>
      <c r="B12" s="19" t="s">
        <v>25</v>
      </c>
      <c r="C12" s="3">
        <v>1.6601999999999999</v>
      </c>
      <c r="E12" s="2" t="s">
        <v>26</v>
      </c>
      <c r="G12" s="2"/>
    </row>
    <row r="13" spans="1:7">
      <c r="A13" s="19" t="s">
        <v>4</v>
      </c>
      <c r="B13" s="19" t="s">
        <v>27</v>
      </c>
      <c r="C13" s="3">
        <v>1.4403999999999999</v>
      </c>
    </row>
    <row r="14" spans="1:7">
      <c r="A14" s="19" t="s">
        <v>4</v>
      </c>
      <c r="B14" s="19" t="s">
        <v>28</v>
      </c>
      <c r="C14" s="3">
        <v>1.7749999999999999</v>
      </c>
    </row>
    <row r="15" spans="1:7">
      <c r="A15" s="19" t="s">
        <v>29</v>
      </c>
      <c r="B15" s="19" t="s">
        <v>30</v>
      </c>
      <c r="C15" s="3">
        <v>3.6</v>
      </c>
    </row>
    <row r="16" spans="1:7">
      <c r="A16" s="19" t="s">
        <v>31</v>
      </c>
      <c r="B16" s="19" t="s">
        <v>13</v>
      </c>
      <c r="C16" s="3">
        <v>2.3685</v>
      </c>
    </row>
    <row r="17" spans="1:5">
      <c r="A17" s="19" t="s">
        <v>31</v>
      </c>
      <c r="B17" s="19" t="s">
        <v>15</v>
      </c>
      <c r="C17" s="3">
        <v>7.3438999999999997</v>
      </c>
    </row>
    <row r="18" spans="1:5">
      <c r="A18" s="19" t="s">
        <v>31</v>
      </c>
      <c r="B18" s="19" t="s">
        <v>7</v>
      </c>
      <c r="C18" s="3">
        <v>2.3839999999999999</v>
      </c>
    </row>
    <row r="19" spans="1:5">
      <c r="A19" s="19" t="s">
        <v>31</v>
      </c>
      <c r="B19" s="19" t="s">
        <v>32</v>
      </c>
      <c r="C19" s="3">
        <v>2.8532999999999999</v>
      </c>
    </row>
    <row r="20" spans="1:5">
      <c r="A20" s="19" t="s">
        <v>33</v>
      </c>
      <c r="B20" s="19" t="s">
        <v>34</v>
      </c>
      <c r="C20" s="3">
        <v>0.86360000000000003</v>
      </c>
    </row>
    <row r="21" spans="1:5">
      <c r="A21" s="19" t="s">
        <v>33</v>
      </c>
      <c r="B21" s="19" t="s">
        <v>35</v>
      </c>
      <c r="C21" s="3">
        <v>0.94989999999999997</v>
      </c>
    </row>
    <row r="22" spans="1:5">
      <c r="A22" s="19" t="s">
        <v>36</v>
      </c>
      <c r="B22" s="19" t="s">
        <v>34</v>
      </c>
      <c r="C22" s="3">
        <v>0.66016755000000005</v>
      </c>
    </row>
    <row r="23" spans="1:5">
      <c r="A23" s="19" t="s">
        <v>37</v>
      </c>
      <c r="B23" s="19" t="s">
        <v>34</v>
      </c>
      <c r="C23" s="3">
        <v>0.86199999000000005</v>
      </c>
    </row>
    <row r="24" spans="1:5">
      <c r="A24" s="19" t="s">
        <v>37</v>
      </c>
      <c r="B24" s="19" t="s">
        <v>25</v>
      </c>
      <c r="C24" s="3">
        <v>0.88299797999999996</v>
      </c>
      <c r="E24" s="3"/>
    </row>
    <row r="25" spans="1:5">
      <c r="A25" s="19" t="s">
        <v>37</v>
      </c>
      <c r="B25" s="19" t="s">
        <v>38</v>
      </c>
      <c r="C25" s="3">
        <v>23.499999989999999</v>
      </c>
    </row>
    <row r="26" spans="1:5">
      <c r="A26" s="19" t="s">
        <v>39</v>
      </c>
      <c r="B26" s="19" t="s">
        <v>13</v>
      </c>
      <c r="C26" s="3">
        <v>0.81299999000000001</v>
      </c>
    </row>
    <row r="27" spans="1:5">
      <c r="A27" s="19" t="s">
        <v>39</v>
      </c>
      <c r="B27" s="19" t="s">
        <v>15</v>
      </c>
      <c r="C27" s="3">
        <v>5.3454545400000004</v>
      </c>
    </row>
    <row r="28" spans="1:5">
      <c r="A28" s="19" t="s">
        <v>39</v>
      </c>
      <c r="B28" s="19" t="s">
        <v>17</v>
      </c>
      <c r="C28" s="3">
        <v>0.98902734999999997</v>
      </c>
    </row>
    <row r="29" spans="1:5">
      <c r="A29" s="19" t="s">
        <v>39</v>
      </c>
      <c r="B29" s="19" t="s">
        <v>11</v>
      </c>
      <c r="C29" s="3">
        <v>0.76288526000000001</v>
      </c>
    </row>
    <row r="30" spans="1:5">
      <c r="A30" s="19" t="s">
        <v>39</v>
      </c>
      <c r="B30" s="19" t="s">
        <v>40</v>
      </c>
      <c r="C30" s="3">
        <v>0.44999999000000002</v>
      </c>
    </row>
    <row r="31" spans="1:5">
      <c r="A31" s="20" t="s">
        <v>39</v>
      </c>
      <c r="B31" s="20" t="s">
        <v>32</v>
      </c>
      <c r="C31" s="20">
        <v>1.4246428499999999</v>
      </c>
    </row>
    <row r="32" spans="1:5">
      <c r="A32" s="20" t="s">
        <v>41</v>
      </c>
      <c r="B32" s="20" t="s">
        <v>42</v>
      </c>
      <c r="C32" s="20">
        <v>1.90833333</v>
      </c>
    </row>
    <row r="33" spans="1:3">
      <c r="A33" s="20" t="s">
        <v>41</v>
      </c>
      <c r="B33" s="20" t="s">
        <v>13</v>
      </c>
      <c r="C33" s="20">
        <v>1.2236291500000001</v>
      </c>
    </row>
    <row r="34" spans="1:3">
      <c r="A34" s="20" t="s">
        <v>43</v>
      </c>
      <c r="B34" s="20" t="s">
        <v>34</v>
      </c>
      <c r="C34" s="20">
        <v>0.50332058999999996</v>
      </c>
    </row>
    <row r="35" spans="1:3">
      <c r="A35" s="20" t="s">
        <v>43</v>
      </c>
      <c r="B35" s="20" t="s">
        <v>35</v>
      </c>
      <c r="C35" s="20">
        <v>0.88500197999999997</v>
      </c>
    </row>
    <row r="36" spans="1:3">
      <c r="A36" s="20" t="s">
        <v>43</v>
      </c>
      <c r="B36" s="20" t="s">
        <v>27</v>
      </c>
      <c r="C36" s="20">
        <v>0.71666666000000001</v>
      </c>
    </row>
    <row r="37" spans="1:3">
      <c r="A37" s="20" t="s">
        <v>44</v>
      </c>
      <c r="B37" s="20" t="s">
        <v>45</v>
      </c>
      <c r="C37" s="20">
        <v>1.96083129</v>
      </c>
    </row>
    <row r="38" spans="1:3">
      <c r="A38" s="20" t="s">
        <v>44</v>
      </c>
      <c r="B38" s="20" t="s">
        <v>46</v>
      </c>
      <c r="C38" s="20">
        <v>0.54500000000000004</v>
      </c>
    </row>
    <row r="39" spans="1:3">
      <c r="A39" s="20" t="s">
        <v>44</v>
      </c>
      <c r="B39" s="20" t="s">
        <v>40</v>
      </c>
      <c r="C39" s="20">
        <v>0.97045453999999998</v>
      </c>
    </row>
    <row r="40" spans="1:3">
      <c r="A40" s="20" t="s">
        <v>44</v>
      </c>
      <c r="B40" s="20" t="s">
        <v>47</v>
      </c>
      <c r="C40" s="20">
        <v>1.9848017600000001</v>
      </c>
    </row>
    <row r="41" spans="1:3">
      <c r="A41" s="20" t="s">
        <v>48</v>
      </c>
      <c r="B41" s="20" t="s">
        <v>49</v>
      </c>
      <c r="C41" s="20">
        <v>0.47666666000000002</v>
      </c>
    </row>
    <row r="42" spans="1:3">
      <c r="A42" s="1"/>
      <c r="B42" s="1"/>
    </row>
    <row r="43" spans="1:3">
      <c r="A43" s="1"/>
      <c r="B43" s="1"/>
    </row>
    <row r="44" spans="1:3">
      <c r="A44" s="1"/>
      <c r="B44" s="1"/>
    </row>
    <row r="45" spans="1:3">
      <c r="A45" s="1"/>
      <c r="B45" s="1"/>
    </row>
    <row r="46" spans="1:3">
      <c r="A46" s="1"/>
      <c r="B46" s="1"/>
    </row>
    <row r="47" spans="1:3">
      <c r="A47" s="1"/>
      <c r="B47" s="1"/>
    </row>
    <row r="48" spans="1:3">
      <c r="A48" s="1"/>
      <c r="B48" s="1"/>
    </row>
    <row r="49" spans="1:2">
      <c r="A49" s="1"/>
      <c r="B49" s="1"/>
    </row>
    <row r="50" spans="1:2">
      <c r="A50" s="1"/>
      <c r="B50" s="1"/>
    </row>
    <row r="51" spans="1:2">
      <c r="A51" s="1"/>
      <c r="B51" s="1"/>
    </row>
    <row r="52" spans="1:2">
      <c r="A52" s="1"/>
      <c r="B52" s="1"/>
    </row>
    <row r="53" spans="1:2">
      <c r="A53" s="1"/>
      <c r="B53" s="1"/>
    </row>
    <row r="54" spans="1:2">
      <c r="A54" s="1"/>
      <c r="B54" s="1"/>
    </row>
    <row r="55" spans="1:2">
      <c r="A55" s="1"/>
      <c r="B55" s="1"/>
    </row>
    <row r="56" spans="1:2">
      <c r="A56" s="1"/>
      <c r="B56" s="1"/>
    </row>
    <row r="57" spans="1:2">
      <c r="A57" s="1"/>
      <c r="B57" s="1"/>
    </row>
    <row r="58" spans="1:2">
      <c r="A58" s="1"/>
      <c r="B58" s="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1"/>
      <c r="B62" s="1"/>
    </row>
    <row r="63" spans="1:2">
      <c r="A63" s="1"/>
      <c r="B63" s="1"/>
    </row>
    <row r="64" spans="1:2">
      <c r="A64" s="1"/>
      <c r="B64" s="1"/>
    </row>
    <row r="65" spans="1:2">
      <c r="A65" s="1"/>
      <c r="B65" s="1"/>
    </row>
    <row r="66" spans="1:2">
      <c r="A66" s="1"/>
      <c r="B66" s="1"/>
    </row>
    <row r="67" spans="1:2">
      <c r="A67" s="1"/>
      <c r="B67" s="1"/>
    </row>
    <row r="68" spans="1:2">
      <c r="A68" s="1"/>
      <c r="B68" s="1"/>
    </row>
    <row r="69" spans="1:2">
      <c r="A69" s="1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1"/>
      <c r="B74" s="1"/>
    </row>
    <row r="75" spans="1:2">
      <c r="A75" s="1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  <row r="79" spans="1:2">
      <c r="A79" s="1"/>
      <c r="B79" s="1"/>
    </row>
    <row r="80" spans="1:2">
      <c r="A80" s="1"/>
      <c r="B80" s="1"/>
    </row>
    <row r="81" spans="1:2">
      <c r="A81" s="1"/>
      <c r="B81" s="1"/>
    </row>
    <row r="82" spans="1:2">
      <c r="A82" s="1"/>
      <c r="B82" s="1"/>
    </row>
    <row r="83" spans="1:2">
      <c r="A83" s="1"/>
      <c r="B83" s="1"/>
    </row>
    <row r="84" spans="1:2">
      <c r="A84" s="1"/>
      <c r="B84" s="1"/>
    </row>
    <row r="85" spans="1:2">
      <c r="A85" s="1"/>
      <c r="B85" s="1"/>
    </row>
    <row r="86" spans="1:2">
      <c r="A86" s="1"/>
      <c r="B86" s="1"/>
    </row>
    <row r="87" spans="1:2">
      <c r="A87" s="1"/>
      <c r="B87" s="1"/>
    </row>
    <row r="88" spans="1:2">
      <c r="A88" s="1"/>
      <c r="B88" s="1"/>
    </row>
    <row r="89" spans="1:2">
      <c r="A89" s="1"/>
      <c r="B89" s="1"/>
    </row>
    <row r="90" spans="1:2">
      <c r="A90" s="1"/>
      <c r="B90" s="1"/>
    </row>
    <row r="91" spans="1:2">
      <c r="A91" s="1"/>
      <c r="B91" s="1"/>
    </row>
    <row r="92" spans="1:2">
      <c r="A92" s="1"/>
      <c r="B92" s="1"/>
    </row>
    <row r="93" spans="1:2">
      <c r="A93" s="1"/>
      <c r="B93" s="1"/>
    </row>
    <row r="94" spans="1:2">
      <c r="A94" s="1"/>
      <c r="B94" s="1"/>
    </row>
    <row r="95" spans="1:2">
      <c r="A95" s="1"/>
      <c r="B95" s="1"/>
    </row>
    <row r="96" spans="1:2">
      <c r="A96" s="1"/>
      <c r="B96" s="1"/>
    </row>
    <row r="97" spans="1:2">
      <c r="A97" s="1"/>
      <c r="B97" s="1"/>
    </row>
    <row r="98" spans="1:2">
      <c r="A98" s="1"/>
      <c r="B98" s="1"/>
    </row>
    <row r="99" spans="1:2">
      <c r="A99" s="1"/>
      <c r="B99" s="1"/>
    </row>
    <row r="100" spans="1:2">
      <c r="A100" s="1"/>
      <c r="B100" s="1"/>
    </row>
    <row r="101" spans="1:2">
      <c r="A101" s="1"/>
      <c r="B101" s="1"/>
    </row>
    <row r="102" spans="1:2">
      <c r="A102" s="1"/>
      <c r="B102" s="1"/>
    </row>
    <row r="103" spans="1:2">
      <c r="A103" s="1"/>
      <c r="B103" s="1"/>
    </row>
    <row r="104" spans="1:2">
      <c r="A104" s="1"/>
      <c r="B104" s="1"/>
    </row>
    <row r="105" spans="1:2">
      <c r="A105" s="1"/>
      <c r="B105" s="1"/>
    </row>
    <row r="106" spans="1:2">
      <c r="A106" s="1"/>
      <c r="B106" s="1"/>
    </row>
    <row r="107" spans="1:2">
      <c r="A107" s="1"/>
      <c r="B107" s="1"/>
    </row>
    <row r="108" spans="1:2">
      <c r="A108" s="1"/>
      <c r="B108" s="1"/>
    </row>
    <row r="109" spans="1:2">
      <c r="A109" s="1"/>
      <c r="B109" s="1"/>
    </row>
    <row r="110" spans="1:2">
      <c r="A110" s="1"/>
      <c r="B110" s="1"/>
    </row>
    <row r="111" spans="1:2">
      <c r="A111" s="1"/>
      <c r="B111" s="1"/>
    </row>
    <row r="112" spans="1:2">
      <c r="A112" s="1"/>
      <c r="B112" s="1"/>
    </row>
    <row r="113" spans="1:2">
      <c r="A113" s="1"/>
      <c r="B113" s="1"/>
    </row>
    <row r="114" spans="1:2">
      <c r="A114" s="1"/>
      <c r="B114" s="1"/>
    </row>
    <row r="115" spans="1:2">
      <c r="A115" s="1"/>
      <c r="B115" s="1"/>
    </row>
    <row r="116" spans="1:2">
      <c r="A116" s="1"/>
      <c r="B116" s="1"/>
    </row>
    <row r="117" spans="1:2">
      <c r="A117" s="1"/>
      <c r="B117" s="1"/>
    </row>
    <row r="118" spans="1:2">
      <c r="A118" s="1"/>
      <c r="B118" s="1"/>
    </row>
    <row r="119" spans="1:2">
      <c r="A119" s="1"/>
      <c r="B119" s="1"/>
    </row>
    <row r="120" spans="1:2">
      <c r="A120" s="1"/>
      <c r="B120" s="1"/>
    </row>
    <row r="121" spans="1:2">
      <c r="A121" s="1"/>
      <c r="B121" s="1"/>
    </row>
    <row r="122" spans="1:2">
      <c r="A122" s="1"/>
      <c r="B122" s="1"/>
    </row>
    <row r="123" spans="1:2">
      <c r="A123" s="1"/>
      <c r="B123" s="1"/>
    </row>
    <row r="124" spans="1:2">
      <c r="A124" s="1"/>
      <c r="B124" s="1"/>
    </row>
    <row r="125" spans="1:2">
      <c r="A125" s="1"/>
      <c r="B125" s="1"/>
    </row>
    <row r="126" spans="1:2">
      <c r="A126" s="1"/>
      <c r="B126" s="1"/>
    </row>
    <row r="127" spans="1:2">
      <c r="A127" s="1"/>
      <c r="B127" s="1"/>
    </row>
    <row r="128" spans="1:2">
      <c r="A128" s="1"/>
      <c r="B128" s="1"/>
    </row>
    <row r="129" spans="1:2">
      <c r="A129" s="1"/>
      <c r="B129" s="1"/>
    </row>
    <row r="130" spans="1:2">
      <c r="A130" s="1"/>
      <c r="B130" s="1"/>
    </row>
    <row r="131" spans="1:2">
      <c r="A131" s="1"/>
      <c r="B131" s="1"/>
    </row>
    <row r="132" spans="1:2">
      <c r="A132" s="1"/>
      <c r="B132" s="1"/>
    </row>
    <row r="133" spans="1:2">
      <c r="A133" s="1"/>
      <c r="B133" s="1"/>
    </row>
    <row r="134" spans="1:2">
      <c r="A134" s="1"/>
      <c r="B134" s="1"/>
    </row>
    <row r="135" spans="1:2">
      <c r="A135" s="1"/>
      <c r="B135" s="1"/>
    </row>
    <row r="136" spans="1:2">
      <c r="A136" s="1"/>
      <c r="B136" s="1"/>
    </row>
    <row r="137" spans="1:2">
      <c r="A137" s="1"/>
      <c r="B137" s="1"/>
    </row>
    <row r="138" spans="1:2">
      <c r="A138" s="1"/>
      <c r="B138" s="1"/>
    </row>
    <row r="139" spans="1:2">
      <c r="A139" s="1"/>
      <c r="B139" s="1"/>
    </row>
    <row r="140" spans="1:2">
      <c r="A140" s="1"/>
      <c r="B140" s="1"/>
    </row>
    <row r="141" spans="1:2">
      <c r="A141" s="1"/>
      <c r="B141" s="1"/>
    </row>
    <row r="142" spans="1:2">
      <c r="A142" s="1"/>
      <c r="B142" s="1"/>
    </row>
    <row r="143" spans="1:2">
      <c r="A143" s="1"/>
      <c r="B143" s="1"/>
    </row>
    <row r="144" spans="1:2">
      <c r="A144" s="1"/>
      <c r="B144" s="1"/>
    </row>
    <row r="145" spans="1:2">
      <c r="A145" s="1"/>
      <c r="B145" s="1"/>
    </row>
    <row r="146" spans="1:2">
      <c r="A146" s="1"/>
      <c r="B146" s="1"/>
    </row>
    <row r="147" spans="1:2">
      <c r="A147" s="1"/>
      <c r="B147" s="1"/>
    </row>
    <row r="148" spans="1:2">
      <c r="A148" s="1"/>
      <c r="B148" s="1"/>
    </row>
    <row r="149" spans="1:2">
      <c r="A149" s="1"/>
      <c r="B149" s="1"/>
    </row>
    <row r="150" spans="1:2">
      <c r="A150" s="1"/>
      <c r="B150" s="1"/>
    </row>
    <row r="151" spans="1:2">
      <c r="A151" s="1"/>
      <c r="B151" s="1"/>
    </row>
  </sheetData>
  <hyperlinks>
    <hyperlink ref="E2" r:id="rId1" display="Standards\36''.xlsm"/>
    <hyperlink ref="E3" r:id="rId2" display="Standards\37''.xlsm"/>
    <hyperlink ref="E4" r:id="rId3" display="Standards\40''.xlsm"/>
    <hyperlink ref="E5" r:id="rId4" display="Standards\48''.xlsm"/>
    <hyperlink ref="E6" r:id="rId5" display="Standards\60''.xlsm"/>
    <hyperlink ref="E7" r:id="rId6" display="Standards\72''.xlsm"/>
    <hyperlink ref="E8" r:id="rId7" display="Standards\74''.xlsm"/>
    <hyperlink ref="E9" r:id="rId8" display="Standards\77''.xlsm"/>
    <hyperlink ref="E10" r:id="rId9" display="Standards\80''.xlsm"/>
    <hyperlink ref="E11" r:id="rId10" display="Standards\NC.xlsm"/>
    <hyperlink ref="E12" r:id="rId11" display="Standards\Gada.xlsm"/>
  </hyperlinks>
  <pageMargins left="0.7" right="0.7" top="0.75" bottom="0.75" header="0.3" footer="0.3"/>
  <pageSetup orientation="portrait" verticalDpi="0" r:id="rId12"/>
  <tableParts count="1"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A76"/>
  <sheetViews>
    <sheetView topLeftCell="A73" workbookViewId="0">
      <selection sqref="A1:A1048576"/>
    </sheetView>
  </sheetViews>
  <sheetFormatPr defaultRowHeight="15"/>
  <cols>
    <col min="1" max="1" width="32.140625" bestFit="1" customWidth="1"/>
  </cols>
  <sheetData>
    <row r="1" spans="1:1">
      <c r="A1" s="7" t="s">
        <v>94</v>
      </c>
    </row>
    <row r="2" spans="1:1">
      <c r="A2" s="8" t="s">
        <v>13</v>
      </c>
    </row>
    <row r="3" spans="1:1">
      <c r="A3" s="8" t="s">
        <v>95</v>
      </c>
    </row>
    <row r="4" spans="1:1">
      <c r="A4" s="8" t="s">
        <v>143</v>
      </c>
    </row>
    <row r="5" spans="1:1">
      <c r="A5" s="8" t="s">
        <v>144</v>
      </c>
    </row>
    <row r="6" spans="1:1">
      <c r="A6" s="9" t="s">
        <v>30</v>
      </c>
    </row>
    <row r="7" spans="1:1">
      <c r="A7" s="9" t="s">
        <v>96</v>
      </c>
    </row>
    <row r="8" spans="1:1">
      <c r="A8" s="9" t="s">
        <v>42</v>
      </c>
    </row>
    <row r="9" spans="1:1">
      <c r="A9" s="9" t="s">
        <v>17</v>
      </c>
    </row>
    <row r="10" spans="1:1">
      <c r="A10" s="8" t="s">
        <v>145</v>
      </c>
    </row>
    <row r="11" spans="1:1">
      <c r="A11" s="8" t="s">
        <v>139</v>
      </c>
    </row>
    <row r="12" spans="1:1">
      <c r="A12" s="8" t="s">
        <v>138</v>
      </c>
    </row>
    <row r="13" spans="1:1">
      <c r="A13" s="9" t="s">
        <v>32</v>
      </c>
    </row>
    <row r="14" spans="1:1" ht="15.75" thickBot="1">
      <c r="A14" s="10" t="s">
        <v>97</v>
      </c>
    </row>
    <row r="15" spans="1:1">
      <c r="A15" s="11" t="s">
        <v>40</v>
      </c>
    </row>
    <row r="16" spans="1:1">
      <c r="A16" s="8" t="s">
        <v>19</v>
      </c>
    </row>
    <row r="17" spans="1:1">
      <c r="A17" s="8" t="s">
        <v>98</v>
      </c>
    </row>
    <row r="18" spans="1:1">
      <c r="A18" s="8" t="s">
        <v>27</v>
      </c>
    </row>
    <row r="19" spans="1:1">
      <c r="A19" s="8" t="s">
        <v>99</v>
      </c>
    </row>
    <row r="20" spans="1:1">
      <c r="A20" s="8" t="s">
        <v>5</v>
      </c>
    </row>
    <row r="21" spans="1:1">
      <c r="A21" s="8" t="s">
        <v>100</v>
      </c>
    </row>
    <row r="22" spans="1:1">
      <c r="A22" s="12" t="s">
        <v>28</v>
      </c>
    </row>
    <row r="23" spans="1:1" ht="15.75" thickBot="1">
      <c r="A23" s="13" t="s">
        <v>101</v>
      </c>
    </row>
    <row r="24" spans="1:1">
      <c r="A24" s="8" t="s">
        <v>34</v>
      </c>
    </row>
    <row r="25" spans="1:1">
      <c r="A25" s="8" t="s">
        <v>25</v>
      </c>
    </row>
    <row r="26" spans="1:1">
      <c r="A26" s="8" t="s">
        <v>35</v>
      </c>
    </row>
    <row r="27" spans="1:1">
      <c r="A27" s="8" t="s">
        <v>151</v>
      </c>
    </row>
    <row r="28" spans="1:1" ht="15.75" thickBot="1">
      <c r="A28" s="14" t="s">
        <v>102</v>
      </c>
    </row>
    <row r="29" spans="1:1">
      <c r="A29" s="27" t="s">
        <v>154</v>
      </c>
    </row>
    <row r="30" spans="1:1">
      <c r="A30" s="11" t="s">
        <v>103</v>
      </c>
    </row>
    <row r="31" spans="1:1">
      <c r="A31" s="8" t="s">
        <v>104</v>
      </c>
    </row>
    <row r="32" spans="1:1" ht="15.75" thickBot="1">
      <c r="A32" s="13" t="s">
        <v>105</v>
      </c>
    </row>
    <row r="33" spans="1:1">
      <c r="A33" s="11" t="s">
        <v>11</v>
      </c>
    </row>
    <row r="34" spans="1:1">
      <c r="A34" s="8" t="s">
        <v>106</v>
      </c>
    </row>
    <row r="35" spans="1:1">
      <c r="A35" s="12" t="s">
        <v>107</v>
      </c>
    </row>
    <row r="36" spans="1:1" ht="15.75" thickBot="1">
      <c r="A36" s="10" t="s">
        <v>108</v>
      </c>
    </row>
    <row r="37" spans="1:1">
      <c r="A37" s="11" t="s">
        <v>109</v>
      </c>
    </row>
    <row r="38" spans="1:1">
      <c r="A38" s="8" t="s">
        <v>110</v>
      </c>
    </row>
    <row r="39" spans="1:1">
      <c r="A39" s="8" t="s">
        <v>45</v>
      </c>
    </row>
    <row r="40" spans="1:1">
      <c r="A40" s="8" t="s">
        <v>111</v>
      </c>
    </row>
    <row r="41" spans="1:1">
      <c r="A41" s="8" t="s">
        <v>112</v>
      </c>
    </row>
    <row r="42" spans="1:1">
      <c r="A42" s="8" t="s">
        <v>113</v>
      </c>
    </row>
    <row r="43" spans="1:1">
      <c r="A43" s="8" t="s">
        <v>114</v>
      </c>
    </row>
    <row r="44" spans="1:1">
      <c r="A44" s="8" t="s">
        <v>47</v>
      </c>
    </row>
    <row r="45" spans="1:1">
      <c r="A45" s="8" t="s">
        <v>115</v>
      </c>
    </row>
    <row r="46" spans="1:1">
      <c r="A46" s="27" t="s">
        <v>155</v>
      </c>
    </row>
    <row r="47" spans="1:1">
      <c r="A47" s="8" t="s">
        <v>116</v>
      </c>
    </row>
    <row r="48" spans="1:1">
      <c r="A48" s="8" t="s">
        <v>117</v>
      </c>
    </row>
    <row r="49" spans="1:1">
      <c r="A49" s="8" t="s">
        <v>46</v>
      </c>
    </row>
    <row r="50" spans="1:1">
      <c r="A50" s="8" t="s">
        <v>118</v>
      </c>
    </row>
    <row r="51" spans="1:1" ht="15.75" thickBot="1">
      <c r="A51" s="13" t="s">
        <v>119</v>
      </c>
    </row>
    <row r="52" spans="1:1">
      <c r="A52" s="15" t="s">
        <v>38</v>
      </c>
    </row>
    <row r="53" spans="1:1">
      <c r="A53" s="8" t="s">
        <v>7</v>
      </c>
    </row>
    <row r="54" spans="1:1">
      <c r="A54" s="8" t="s">
        <v>9</v>
      </c>
    </row>
    <row r="55" spans="1:1">
      <c r="A55" s="8" t="s">
        <v>120</v>
      </c>
    </row>
    <row r="56" spans="1:1">
      <c r="A56" s="8" t="s">
        <v>15</v>
      </c>
    </row>
    <row r="57" spans="1:1">
      <c r="A57" s="9" t="s">
        <v>121</v>
      </c>
    </row>
    <row r="58" spans="1:1">
      <c r="A58" s="9" t="s">
        <v>122</v>
      </c>
    </row>
    <row r="59" spans="1:1">
      <c r="A59" s="8" t="s">
        <v>137</v>
      </c>
    </row>
    <row r="60" spans="1:1">
      <c r="A60" s="9" t="s">
        <v>21</v>
      </c>
    </row>
    <row r="61" spans="1:1" ht="15.75" thickBot="1">
      <c r="A61" s="13" t="s">
        <v>123</v>
      </c>
    </row>
    <row r="62" spans="1:1">
      <c r="A62" s="15" t="s">
        <v>124</v>
      </c>
    </row>
    <row r="63" spans="1:1">
      <c r="A63" s="15" t="s">
        <v>125</v>
      </c>
    </row>
    <row r="64" spans="1:1">
      <c r="A64" s="9" t="s">
        <v>126</v>
      </c>
    </row>
    <row r="65" spans="1:1">
      <c r="A65" s="16" t="s">
        <v>127</v>
      </c>
    </row>
    <row r="66" spans="1:1">
      <c r="A66" s="9" t="s">
        <v>128</v>
      </c>
    </row>
    <row r="67" spans="1:1">
      <c r="A67" s="9" t="s">
        <v>129</v>
      </c>
    </row>
    <row r="68" spans="1:1">
      <c r="A68" s="9" t="s">
        <v>130</v>
      </c>
    </row>
    <row r="69" spans="1:1">
      <c r="A69" s="9" t="s">
        <v>131</v>
      </c>
    </row>
    <row r="70" spans="1:1">
      <c r="A70" s="9" t="s">
        <v>132</v>
      </c>
    </row>
    <row r="71" spans="1:1">
      <c r="A71" s="9" t="s">
        <v>133</v>
      </c>
    </row>
    <row r="72" spans="1:1">
      <c r="A72" s="8" t="s">
        <v>149</v>
      </c>
    </row>
    <row r="73" spans="1:1">
      <c r="A73" s="8" t="s">
        <v>150</v>
      </c>
    </row>
    <row r="74" spans="1:1">
      <c r="A74" s="9" t="s">
        <v>140</v>
      </c>
    </row>
    <row r="75" spans="1:1">
      <c r="A75" s="9" t="s">
        <v>141</v>
      </c>
    </row>
    <row r="76" spans="1:1">
      <c r="A76" s="9" t="s">
        <v>142</v>
      </c>
    </row>
  </sheetData>
  <protectedRanges>
    <protectedRange sqref="A62 A64 A52:A60" name="Products made_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39"/>
  <sheetViews>
    <sheetView workbookViewId="0"/>
  </sheetViews>
  <sheetFormatPr defaultRowHeight="15.75"/>
  <cols>
    <col min="1" max="1" width="22.5703125" style="5" bestFit="1" customWidth="1"/>
    <col min="2" max="2" width="17.28515625" style="6" bestFit="1" customWidth="1"/>
  </cols>
  <sheetData>
    <row r="1" spans="1:2" ht="15">
      <c r="A1" s="4" t="s">
        <v>50</v>
      </c>
      <c r="B1" s="4" t="s">
        <v>51</v>
      </c>
    </row>
    <row r="2" spans="1:2">
      <c r="A2" s="5" t="s">
        <v>52</v>
      </c>
      <c r="B2" s="6" t="s">
        <v>4</v>
      </c>
    </row>
    <row r="3" spans="1:2">
      <c r="A3" s="5" t="s">
        <v>53</v>
      </c>
      <c r="B3" s="6" t="s">
        <v>4</v>
      </c>
    </row>
    <row r="4" spans="1:2">
      <c r="A4" s="5" t="s">
        <v>54</v>
      </c>
      <c r="B4" s="6" t="s">
        <v>4</v>
      </c>
    </row>
    <row r="5" spans="1:2">
      <c r="A5" s="5" t="s">
        <v>55</v>
      </c>
      <c r="B5" s="6" t="s">
        <v>4</v>
      </c>
    </row>
    <row r="6" spans="1:2">
      <c r="A6" s="5" t="s">
        <v>56</v>
      </c>
      <c r="B6" s="6" t="s">
        <v>4</v>
      </c>
    </row>
    <row r="7" spans="1:2">
      <c r="A7" s="5" t="s">
        <v>57</v>
      </c>
      <c r="B7" s="6" t="s">
        <v>4</v>
      </c>
    </row>
    <row r="8" spans="1:2">
      <c r="A8" s="5" t="s">
        <v>58</v>
      </c>
      <c r="B8" s="6" t="s">
        <v>4</v>
      </c>
    </row>
    <row r="9" spans="1:2">
      <c r="A9" s="5" t="s">
        <v>59</v>
      </c>
      <c r="B9" s="6" t="s">
        <v>29</v>
      </c>
    </row>
    <row r="10" spans="1:2">
      <c r="A10" s="5" t="s">
        <v>60</v>
      </c>
      <c r="B10" s="6" t="s">
        <v>31</v>
      </c>
    </row>
    <row r="11" spans="1:2">
      <c r="A11" s="5" t="s">
        <v>61</v>
      </c>
      <c r="B11" s="6" t="s">
        <v>31</v>
      </c>
    </row>
    <row r="12" spans="1:2">
      <c r="A12" s="5" t="s">
        <v>62</v>
      </c>
      <c r="B12" s="6" t="s">
        <v>33</v>
      </c>
    </row>
    <row r="13" spans="1:2">
      <c r="A13" s="5" t="s">
        <v>63</v>
      </c>
      <c r="B13" s="6" t="s">
        <v>36</v>
      </c>
    </row>
    <row r="14" spans="1:2">
      <c r="A14" s="5" t="s">
        <v>64</v>
      </c>
      <c r="B14" s="6" t="s">
        <v>36</v>
      </c>
    </row>
    <row r="15" spans="1:2">
      <c r="A15" s="5" t="s">
        <v>65</v>
      </c>
      <c r="B15" s="6" t="s">
        <v>36</v>
      </c>
    </row>
    <row r="16" spans="1:2">
      <c r="A16" s="5" t="s">
        <v>152</v>
      </c>
      <c r="B16" s="6" t="s">
        <v>153</v>
      </c>
    </row>
    <row r="17" spans="1:2">
      <c r="A17" s="5" t="s">
        <v>66</v>
      </c>
      <c r="B17" s="6" t="s">
        <v>37</v>
      </c>
    </row>
    <row r="18" spans="1:2">
      <c r="A18" s="5" t="s">
        <v>67</v>
      </c>
      <c r="B18" s="6" t="s">
        <v>37</v>
      </c>
    </row>
    <row r="19" spans="1:2">
      <c r="A19" s="5" t="s">
        <v>68</v>
      </c>
      <c r="B19" s="6" t="s">
        <v>37</v>
      </c>
    </row>
    <row r="20" spans="1:2">
      <c r="A20" s="5" t="s">
        <v>69</v>
      </c>
      <c r="B20" s="6" t="s">
        <v>37</v>
      </c>
    </row>
    <row r="21" spans="1:2">
      <c r="A21" s="5" t="s">
        <v>70</v>
      </c>
      <c r="B21" s="6" t="s">
        <v>39</v>
      </c>
    </row>
    <row r="22" spans="1:2">
      <c r="A22" s="5" t="s">
        <v>71</v>
      </c>
      <c r="B22" s="6" t="s">
        <v>41</v>
      </c>
    </row>
    <row r="23" spans="1:2">
      <c r="A23" s="5" t="s">
        <v>72</v>
      </c>
      <c r="B23" s="6" t="s">
        <v>43</v>
      </c>
    </row>
    <row r="24" spans="1:2">
      <c r="A24" s="5" t="s">
        <v>73</v>
      </c>
      <c r="B24" s="6" t="s">
        <v>73</v>
      </c>
    </row>
    <row r="25" spans="1:2">
      <c r="A25" s="5" t="s">
        <v>74</v>
      </c>
      <c r="B25" s="6" t="s">
        <v>74</v>
      </c>
    </row>
    <row r="26" spans="1:2">
      <c r="A26" s="5" t="s">
        <v>48</v>
      </c>
      <c r="B26" s="6" t="s">
        <v>48</v>
      </c>
    </row>
    <row r="27" spans="1:2">
      <c r="A27" s="5" t="s">
        <v>75</v>
      </c>
      <c r="B27" s="6" t="s">
        <v>75</v>
      </c>
    </row>
    <row r="28" spans="1:2">
      <c r="A28" s="5" t="s">
        <v>76</v>
      </c>
      <c r="B28" s="6" t="s">
        <v>77</v>
      </c>
    </row>
    <row r="29" spans="1:2">
      <c r="A29" s="5" t="s">
        <v>78</v>
      </c>
      <c r="B29" s="6" t="s">
        <v>78</v>
      </c>
    </row>
    <row r="30" spans="1:2">
      <c r="A30" s="5" t="s">
        <v>79</v>
      </c>
      <c r="B30" s="6" t="s">
        <v>44</v>
      </c>
    </row>
    <row r="31" spans="1:2">
      <c r="A31" s="5" t="s">
        <v>80</v>
      </c>
      <c r="B31" s="6" t="s">
        <v>44</v>
      </c>
    </row>
    <row r="32" spans="1:2">
      <c r="A32" s="5" t="s">
        <v>81</v>
      </c>
      <c r="B32" s="6" t="s">
        <v>44</v>
      </c>
    </row>
    <row r="33" spans="1:2">
      <c r="A33" s="5" t="s">
        <v>82</v>
      </c>
      <c r="B33" s="6" t="s">
        <v>44</v>
      </c>
    </row>
    <row r="34" spans="1:2">
      <c r="A34" s="5" t="s">
        <v>83</v>
      </c>
      <c r="B34" s="6" t="s">
        <v>83</v>
      </c>
    </row>
    <row r="35" spans="1:2">
      <c r="A35" s="5" t="s">
        <v>84</v>
      </c>
      <c r="B35" s="6" t="s">
        <v>84</v>
      </c>
    </row>
    <row r="36" spans="1:2">
      <c r="A36" s="5" t="s">
        <v>85</v>
      </c>
      <c r="B36" s="6" t="s">
        <v>85</v>
      </c>
    </row>
    <row r="37" spans="1:2">
      <c r="A37" s="5" t="s">
        <v>146</v>
      </c>
      <c r="B37" s="6" t="s">
        <v>36</v>
      </c>
    </row>
    <row r="38" spans="1:2">
      <c r="A38" s="5" t="s">
        <v>147</v>
      </c>
      <c r="B38" s="6" t="s">
        <v>37</v>
      </c>
    </row>
    <row r="39" spans="1:2">
      <c r="A39" s="5" t="s">
        <v>148</v>
      </c>
      <c r="B39" s="6" t="s">
        <v>37</v>
      </c>
    </row>
  </sheetData>
  <dataValidations count="1">
    <dataValidation type="list" allowBlank="1" showInputMessage="1" showErrorMessage="1" sqref="B36">
      <formula1>'[1]Cloth Cost'!$B$2:$B$60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MIMR Sheet</vt:lpstr>
      <vt:lpstr>Data Input Sheet</vt:lpstr>
      <vt:lpstr>Summary</vt:lpstr>
      <vt:lpstr>Averages</vt:lpstr>
      <vt:lpstr>Products</vt:lpstr>
      <vt:lpstr>Cloth</vt:lpstr>
      <vt:lpstr>'Data Input Sheet'!Print_Area</vt:lpstr>
      <vt:lpstr>Summary!Print_Area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Vaishali</cp:lastModifiedBy>
  <dcterms:created xsi:type="dcterms:W3CDTF">2010-02-08T11:50:50Z</dcterms:created>
  <dcterms:modified xsi:type="dcterms:W3CDTF">2010-02-25T14:16:21Z</dcterms:modified>
</cp:coreProperties>
</file>