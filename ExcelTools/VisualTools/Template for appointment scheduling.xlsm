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Desktop\vitrag setup\"/>
    </mc:Choice>
  </mc:AlternateContent>
  <xr:revisionPtr revIDLastSave="0" documentId="13_ncr:1_{761F8517-930B-4B3D-A2F7-BDDB7EE35629}" xr6:coauthVersionLast="40" xr6:coauthVersionMax="40" xr10:uidLastSave="{00000000-0000-0000-0000-000000000000}"/>
  <bookViews>
    <workbookView xWindow="0" yWindow="0" windowWidth="20496" windowHeight="7152" activeTab="2" xr2:uid="{00000000-000D-0000-FFFF-FFFF00000000}"/>
  </bookViews>
  <sheets>
    <sheet name="Leads" sheetId="2" r:id="rId1"/>
    <sheet name="Discussions" sheetId="1" r:id="rId2"/>
    <sheet name="Sheet1" sheetId="5" r:id="rId3"/>
    <sheet name="Sheet2" sheetId="4" r:id="rId4"/>
  </sheets>
  <functionGroups builtInGroupCount="19"/>
  <definedNames>
    <definedName name="blank">"DiscussionResults"</definedName>
    <definedName name="Initiative">Table1[Initiative]</definedName>
    <definedName name="Leads">Table2[Initiative]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14" i="1" l="1"/>
  <c r="D107" i="1"/>
  <c r="D53" i="1"/>
  <c r="B52" i="1"/>
  <c r="C50" i="1"/>
  <c r="D31" i="1"/>
  <c r="B39" i="1"/>
  <c r="D102" i="1"/>
  <c r="E81" i="1"/>
  <c r="E16" i="1"/>
  <c r="E41" i="1"/>
  <c r="E94" i="1"/>
  <c r="C28" i="1"/>
  <c r="B100" i="1"/>
  <c r="E2" i="1"/>
  <c r="D112" i="1"/>
  <c r="E95" i="1"/>
  <c r="C37" i="1"/>
  <c r="B28" i="1"/>
  <c r="D56" i="1"/>
  <c r="D46" i="1"/>
  <c r="C22" i="1"/>
  <c r="D70" i="1"/>
  <c r="B70" i="1"/>
  <c r="E89" i="1"/>
  <c r="D77" i="1"/>
  <c r="D9" i="1"/>
  <c r="C106" i="1"/>
  <c r="E18" i="1"/>
  <c r="B3" i="1"/>
  <c r="B9" i="1"/>
  <c r="D89" i="1"/>
  <c r="C59" i="1"/>
  <c r="E24" i="1"/>
  <c r="C62" i="1"/>
  <c r="B37" i="1"/>
  <c r="B71" i="1"/>
  <c r="E112" i="1"/>
  <c r="D67" i="1"/>
  <c r="C4" i="1"/>
  <c r="C21" i="1"/>
  <c r="B46" i="1"/>
  <c r="E83" i="1"/>
  <c r="C78" i="1"/>
  <c r="C2" i="1"/>
  <c r="E43" i="1"/>
  <c r="D47" i="1"/>
  <c r="B58" i="1"/>
  <c r="D45" i="1"/>
  <c r="E88" i="1"/>
  <c r="B63" i="1"/>
  <c r="D93" i="1"/>
  <c r="B112" i="1"/>
  <c r="B95" i="1"/>
  <c r="C84" i="1"/>
  <c r="E87" i="1"/>
  <c r="C61" i="1"/>
  <c r="C41" i="1"/>
  <c r="E42" i="1"/>
  <c r="E57" i="1"/>
  <c r="D80" i="1"/>
  <c r="E11" i="1"/>
  <c r="C49" i="1"/>
  <c r="C52" i="1"/>
  <c r="D76" i="1"/>
  <c r="D28" i="1"/>
  <c r="C9" i="1"/>
  <c r="D2" i="1"/>
  <c r="B26" i="1"/>
  <c r="D75" i="1"/>
  <c r="B49" i="1"/>
  <c r="B68" i="1"/>
  <c r="C10" i="1"/>
  <c r="B61" i="1"/>
  <c r="B27" i="1"/>
  <c r="D37" i="1"/>
  <c r="B2" i="1"/>
  <c r="C74" i="1"/>
  <c r="B43" i="1"/>
  <c r="D95" i="1"/>
  <c r="D78" i="1"/>
  <c r="D30" i="1"/>
  <c r="D66" i="1"/>
  <c r="B88" i="1"/>
  <c r="D64" i="1"/>
  <c r="E103" i="1"/>
  <c r="B94" i="1"/>
  <c r="B20" i="1"/>
  <c r="E19" i="1"/>
  <c r="C43" i="1"/>
  <c r="E25" i="1"/>
  <c r="C88" i="1"/>
  <c r="C101" i="1"/>
  <c r="B35" i="1"/>
  <c r="E59" i="1"/>
  <c r="B84" i="1"/>
  <c r="E36" i="1"/>
  <c r="C109" i="1"/>
  <c r="B65" i="1"/>
  <c r="C47" i="1"/>
  <c r="B33" i="1"/>
  <c r="E93" i="1"/>
  <c r="C79" i="1"/>
  <c r="E29" i="1"/>
  <c r="E47" i="1"/>
  <c r="C36" i="1"/>
  <c r="B87" i="1"/>
  <c r="B34" i="1"/>
  <c r="C16" i="1"/>
  <c r="D113" i="1"/>
  <c r="C98" i="1"/>
  <c r="B48" i="1"/>
  <c r="E97" i="1"/>
  <c r="C19" i="1"/>
  <c r="C96" i="1"/>
  <c r="C100" i="1"/>
  <c r="E71" i="1"/>
  <c r="C38" i="1"/>
  <c r="E110" i="1"/>
  <c r="D81" i="1"/>
  <c r="B11" i="1"/>
  <c r="C58" i="1"/>
  <c r="D105" i="1"/>
  <c r="B73" i="1"/>
  <c r="D111" i="1"/>
  <c r="C70" i="1"/>
  <c r="B60" i="1"/>
  <c r="C90" i="1"/>
  <c r="C77" i="1"/>
  <c r="E77" i="1"/>
  <c r="C110" i="1"/>
  <c r="B32" i="1"/>
  <c r="D63" i="1"/>
  <c r="B79" i="1"/>
  <c r="D92" i="1"/>
  <c r="E21" i="1"/>
  <c r="B4" i="1"/>
  <c r="B102" i="1"/>
  <c r="C11" i="1"/>
  <c r="D88" i="1"/>
  <c r="C71" i="1"/>
  <c r="D58" i="1"/>
  <c r="B29" i="1"/>
  <c r="D36" i="1"/>
  <c r="C20" i="1"/>
  <c r="E101" i="1"/>
  <c r="C72" i="1"/>
  <c r="E67" i="1"/>
  <c r="D18" i="1"/>
  <c r="D20" i="1"/>
  <c r="C87" i="1"/>
  <c r="B85" i="1"/>
  <c r="E5" i="1"/>
  <c r="C25" i="1"/>
  <c r="E75" i="1"/>
  <c r="E90" i="1"/>
  <c r="D65" i="1"/>
  <c r="B56" i="1"/>
  <c r="E104" i="1"/>
  <c r="B19" i="1"/>
  <c r="B66" i="1"/>
  <c r="D83" i="1"/>
  <c r="B64" i="1"/>
  <c r="D16" i="1"/>
  <c r="E105" i="1"/>
  <c r="C112" i="1"/>
  <c r="D97" i="1"/>
  <c r="C55" i="1"/>
  <c r="E52" i="1"/>
  <c r="E82" i="1"/>
  <c r="D43" i="1"/>
  <c r="D10" i="1"/>
  <c r="E64" i="1"/>
  <c r="E17" i="1"/>
  <c r="D48" i="1"/>
  <c r="D59" i="1"/>
  <c r="E55" i="1"/>
  <c r="B36" i="1"/>
  <c r="C95" i="1"/>
  <c r="E78" i="1"/>
  <c r="C80" i="1"/>
  <c r="C105" i="1"/>
  <c r="C17" i="1"/>
  <c r="B41" i="1"/>
  <c r="C27" i="1"/>
  <c r="E96" i="1"/>
  <c r="D14" i="1"/>
  <c r="C5" i="1"/>
  <c r="C39" i="1"/>
  <c r="C92" i="1"/>
  <c r="D104" i="1"/>
  <c r="E33" i="1"/>
  <c r="C34" i="1"/>
  <c r="C99" i="1"/>
  <c r="C31" i="1"/>
  <c r="E73" i="1"/>
  <c r="E102" i="1"/>
  <c r="D85" i="1"/>
  <c r="E70" i="1"/>
  <c r="B109" i="1"/>
  <c r="D103" i="1"/>
  <c r="C85" i="1"/>
  <c r="C48" i="1"/>
  <c r="B54" i="1"/>
  <c r="D98" i="1"/>
  <c r="C64" i="1"/>
  <c r="E108" i="1"/>
  <c r="B74" i="1"/>
  <c r="C30" i="1"/>
  <c r="B42" i="1"/>
  <c r="C111" i="1"/>
  <c r="E26" i="1"/>
  <c r="E40" i="1"/>
  <c r="B14" i="1"/>
  <c r="E23" i="1"/>
  <c r="D86" i="1"/>
  <c r="E62" i="1"/>
  <c r="D91" i="1"/>
  <c r="D57" i="1"/>
  <c r="B25" i="1"/>
  <c r="D8" i="1"/>
  <c r="E38" i="1"/>
  <c r="C113" i="1"/>
  <c r="D74" i="1"/>
  <c r="B104" i="1"/>
  <c r="D3" i="1"/>
  <c r="C102" i="1"/>
  <c r="B15" i="1"/>
  <c r="E46" i="1"/>
  <c r="C53" i="1"/>
  <c r="E32" i="1"/>
  <c r="D13" i="1"/>
  <c r="D60" i="1"/>
  <c r="C40" i="1"/>
  <c r="B21" i="1"/>
  <c r="B75" i="1"/>
  <c r="E99" i="1"/>
  <c r="D96" i="1"/>
  <c r="E92" i="1"/>
  <c r="C63" i="1"/>
  <c r="E85" i="1"/>
  <c r="D101" i="1"/>
  <c r="C57" i="1"/>
  <c r="D26" i="1"/>
  <c r="B40" i="1"/>
  <c r="C12" i="1"/>
  <c r="E9" i="1"/>
  <c r="B47" i="1"/>
  <c r="B110" i="1"/>
  <c r="C114" i="1"/>
  <c r="D35" i="1"/>
  <c r="D12" i="1"/>
  <c r="E30" i="1"/>
  <c r="B113" i="1"/>
  <c r="B38" i="1"/>
  <c r="D7" i="1"/>
  <c r="D5" i="1"/>
  <c r="B86" i="1"/>
  <c r="D62" i="1"/>
  <c r="D19" i="1"/>
  <c r="B105" i="1"/>
  <c r="D108" i="1"/>
  <c r="E68" i="1"/>
  <c r="D100" i="1"/>
  <c r="D27" i="1"/>
  <c r="B91" i="1"/>
  <c r="E76" i="1"/>
  <c r="C86" i="1"/>
  <c r="D90" i="1"/>
  <c r="C54" i="1"/>
  <c r="C3" i="1"/>
  <c r="B98" i="1"/>
  <c r="D34" i="1"/>
  <c r="D42" i="1"/>
  <c r="E56" i="1"/>
  <c r="E12" i="1"/>
  <c r="C82" i="1"/>
  <c r="B106" i="1"/>
  <c r="B10" i="1"/>
  <c r="B23" i="1"/>
  <c r="B81" i="1"/>
  <c r="E61" i="1"/>
  <c r="B67" i="1"/>
  <c r="C66" i="1"/>
  <c r="C81" i="1"/>
  <c r="C65" i="1"/>
  <c r="E39" i="1"/>
  <c r="D44" i="1"/>
  <c r="D21" i="1"/>
  <c r="E3" i="1"/>
  <c r="D41" i="1"/>
  <c r="B101" i="1"/>
  <c r="E49" i="1"/>
  <c r="B18" i="1"/>
  <c r="E15" i="1"/>
  <c r="E74" i="1"/>
  <c r="E7" i="1"/>
  <c r="B31" i="1"/>
  <c r="E54" i="1"/>
  <c r="E100" i="1"/>
  <c r="B108" i="1"/>
  <c r="E14" i="1"/>
  <c r="B44" i="1"/>
  <c r="C56" i="1"/>
  <c r="D49" i="1"/>
  <c r="E106" i="1"/>
  <c r="D4" i="1"/>
  <c r="E44" i="1"/>
  <c r="C60" i="1"/>
  <c r="D84" i="1"/>
  <c r="C29" i="1"/>
  <c r="C24" i="1"/>
  <c r="E65" i="1"/>
  <c r="B78" i="1"/>
  <c r="C23" i="1"/>
  <c r="C89" i="1"/>
  <c r="B45" i="1"/>
  <c r="D29" i="1"/>
  <c r="C103" i="1"/>
  <c r="B17" i="1"/>
  <c r="E60" i="1"/>
  <c r="D50" i="1"/>
  <c r="C93" i="1"/>
  <c r="D87" i="1"/>
  <c r="E50" i="1"/>
  <c r="E31" i="1"/>
  <c r="C46" i="1"/>
  <c r="C68" i="1"/>
  <c r="B83" i="1"/>
  <c r="C33" i="1"/>
  <c r="D24" i="1"/>
  <c r="D52" i="1"/>
  <c r="C15" i="1"/>
  <c r="E91" i="1"/>
  <c r="B22" i="1"/>
  <c r="B6" i="1"/>
  <c r="C6" i="1"/>
  <c r="B55" i="1"/>
  <c r="B13" i="1"/>
  <c r="D33" i="1"/>
  <c r="D73" i="1"/>
  <c r="E84" i="1"/>
  <c r="C69" i="1"/>
  <c r="E34" i="1"/>
  <c r="B5" i="1"/>
  <c r="B72" i="1"/>
  <c r="C108" i="1"/>
  <c r="C97" i="1"/>
  <c r="B89" i="1"/>
  <c r="D79" i="1"/>
  <c r="C26" i="1"/>
  <c r="B24" i="1"/>
  <c r="D114" i="1"/>
  <c r="C45" i="1"/>
  <c r="D40" i="1"/>
  <c r="B12" i="1"/>
  <c r="E80" i="1"/>
  <c r="C91" i="1"/>
  <c r="B69" i="1"/>
  <c r="E13" i="1"/>
  <c r="C32" i="1"/>
  <c r="E58" i="1"/>
  <c r="D94" i="1"/>
  <c r="E28" i="1"/>
  <c r="E86" i="1"/>
  <c r="D110" i="1"/>
  <c r="D25" i="1"/>
  <c r="B76" i="1"/>
  <c r="B50" i="1"/>
  <c r="B92" i="1"/>
  <c r="D32" i="1"/>
  <c r="B96" i="1"/>
  <c r="D54" i="1"/>
  <c r="D68" i="1"/>
  <c r="E27" i="1"/>
  <c r="C14" i="1"/>
  <c r="B111" i="1"/>
  <c r="E51" i="1"/>
  <c r="E66" i="1"/>
  <c r="E113" i="1"/>
  <c r="C44" i="1"/>
  <c r="C13" i="1"/>
  <c r="E69" i="1"/>
  <c r="E45" i="1"/>
  <c r="D6" i="1"/>
  <c r="D82" i="1"/>
  <c r="D106" i="1"/>
  <c r="C76" i="1"/>
  <c r="D55" i="1"/>
  <c r="E63" i="1"/>
  <c r="B82" i="1"/>
  <c r="D39" i="1"/>
  <c r="E22" i="1"/>
  <c r="B51" i="1"/>
  <c r="C73" i="1"/>
  <c r="D51" i="1"/>
  <c r="B53" i="1"/>
  <c r="C7" i="1"/>
  <c r="D109" i="1"/>
  <c r="E98" i="1"/>
  <c r="E35" i="1"/>
  <c r="B103" i="1"/>
  <c r="C18" i="1"/>
  <c r="E79" i="1"/>
  <c r="D22" i="1"/>
  <c r="D23" i="1"/>
  <c r="C67" i="1"/>
  <c r="D38" i="1"/>
  <c r="E6" i="1"/>
  <c r="B107" i="1"/>
  <c r="D69" i="1"/>
  <c r="B57" i="1"/>
  <c r="B30" i="1"/>
  <c r="D72" i="1"/>
  <c r="C107" i="1"/>
  <c r="B62" i="1"/>
  <c r="E48" i="1"/>
  <c r="D99" i="1"/>
  <c r="E8" i="1"/>
  <c r="D61" i="1"/>
  <c r="D17" i="1"/>
  <c r="C83" i="1"/>
  <c r="E20" i="1"/>
  <c r="B93" i="1"/>
  <c r="C8" i="1"/>
  <c r="E10" i="1"/>
  <c r="D15" i="1"/>
  <c r="E111" i="1"/>
  <c r="E4" i="1"/>
  <c r="B7" i="1"/>
  <c r="E107" i="1"/>
  <c r="B99" i="1"/>
  <c r="C94" i="1"/>
  <c r="D71" i="1"/>
  <c r="C35" i="1"/>
  <c r="C104" i="1"/>
  <c r="B80" i="1"/>
  <c r="E53" i="1"/>
  <c r="E37" i="1"/>
  <c r="B16" i="1"/>
  <c r="C42" i="1"/>
  <c r="D11" i="1"/>
  <c r="E109" i="1"/>
  <c r="B8" i="1"/>
  <c r="B77" i="1"/>
  <c r="E114" i="1"/>
  <c r="B90" i="1"/>
  <c r="B97" i="1"/>
  <c r="C75" i="1"/>
  <c r="E72" i="1"/>
  <c r="B59" i="1"/>
  <c r="C51" i="1"/>
</calcChain>
</file>

<file path=xl/sharedStrings.xml><?xml version="1.0" encoding="utf-8"?>
<sst xmlns="http://schemas.openxmlformats.org/spreadsheetml/2006/main" count="839" uniqueCount="475">
  <si>
    <t>Initiative</t>
  </si>
  <si>
    <t>Status of work</t>
  </si>
  <si>
    <t>Date</t>
  </si>
  <si>
    <t>Notes</t>
  </si>
  <si>
    <t>Division</t>
  </si>
  <si>
    <t>Coordinating with</t>
  </si>
  <si>
    <t>Site</t>
  </si>
  <si>
    <t>Contact Details</t>
  </si>
  <si>
    <t>Email ID</t>
  </si>
  <si>
    <t>Tags</t>
  </si>
  <si>
    <t>Discussion results</t>
  </si>
  <si>
    <t>Number</t>
  </si>
  <si>
    <t>Date Contacted</t>
  </si>
  <si>
    <t>Enquiry</t>
  </si>
  <si>
    <t>Bhagya</t>
  </si>
  <si>
    <t>Attendance System</t>
  </si>
  <si>
    <t>Tap Card system</t>
  </si>
  <si>
    <t>Lease Line Internet</t>
  </si>
  <si>
    <t>Paperless Office Desk</t>
  </si>
  <si>
    <t>Sewing Machine management</t>
  </si>
  <si>
    <t>iPad on front desk</t>
  </si>
  <si>
    <t>Keys Management</t>
  </si>
  <si>
    <t>Heat maps chart</t>
  </si>
  <si>
    <t>OneDrive API setup</t>
  </si>
  <si>
    <t>Orders Summary</t>
  </si>
  <si>
    <t>Google Maps Link</t>
  </si>
  <si>
    <t>Family Tree</t>
  </si>
  <si>
    <t>VeriFone warehouse tree</t>
  </si>
  <si>
    <t>Canned Responses</t>
  </si>
  <si>
    <t>Asset List</t>
  </si>
  <si>
    <t>Listings</t>
  </si>
  <si>
    <t>Purchases from Amazon</t>
  </si>
  <si>
    <t>Migration of contacts</t>
  </si>
  <si>
    <t>Gokul Gardens stickers for calendar Distribution</t>
  </si>
  <si>
    <t>Nilga Order Patterns</t>
  </si>
  <si>
    <t>Nilga Operations Manual (SOP)</t>
  </si>
  <si>
    <t>Nilga Security Systems</t>
  </si>
  <si>
    <t>Sunnyside CCTV Cameras</t>
  </si>
  <si>
    <t>Fernhill Security Systems</t>
  </si>
  <si>
    <t>Drummella Guard Patrol</t>
  </si>
  <si>
    <t>Drummella CCTV Camera</t>
  </si>
  <si>
    <t>Vaishali Lease Line Internet</t>
  </si>
  <si>
    <t>Fernhill Office Shifting</t>
  </si>
  <si>
    <t>All</t>
  </si>
  <si>
    <t>Infra</t>
  </si>
  <si>
    <t>Nilga</t>
  </si>
  <si>
    <t>Personal</t>
  </si>
  <si>
    <t>Sunnyside</t>
  </si>
  <si>
    <t>YCH</t>
  </si>
  <si>
    <t>Drummella</t>
  </si>
  <si>
    <t>Development</t>
  </si>
  <si>
    <t>Implement</t>
  </si>
  <si>
    <t>Deployed first view - Unsuccessful</t>
  </si>
  <si>
    <t>Request to check the Google maps link</t>
  </si>
  <si>
    <t>Started</t>
  </si>
  <si>
    <t>Checking the listings update. 3 done and 3 left</t>
  </si>
  <si>
    <t>Done</t>
  </si>
  <si>
    <t>Friday survey</t>
  </si>
  <si>
    <t>Placed in OneDrive Databases/Calendar Distribution 2015/L12 file</t>
  </si>
  <si>
    <t>Deployed with OneDrive embed. Still can download. Secured with password and unstable Vega</t>
  </si>
  <si>
    <t>5 contacts arranged out of</t>
  </si>
  <si>
    <t>Discuss with Santhosh</t>
  </si>
  <si>
    <t>Delayed to Monday 12 Jan 2014</t>
  </si>
  <si>
    <t>Cleaning of office</t>
  </si>
  <si>
    <t xml:space="preserve">Created template </t>
  </si>
  <si>
    <t>To complete work of EPBAX at ground floor</t>
  </si>
  <si>
    <t>Updated. Needs addition</t>
  </si>
  <si>
    <t>All links created</t>
  </si>
  <si>
    <t>AB</t>
  </si>
  <si>
    <t>Santhosh</t>
  </si>
  <si>
    <t>Vinod;Santhosh</t>
  </si>
  <si>
    <t>Links</t>
  </si>
  <si>
    <t>https://www.evernote.com/Home.action#n=12a551af-1146-42be-b950-c295add07e02&amp;b=9e0b2358-a622-44d7-8feb-2e8c6c62811e&amp;ses=4&amp;sh=1&amp;sds=5&amp;</t>
  </si>
  <si>
    <t>https://www.evernote.com/Home.action#n=db816ed0-3763-400a-a8b6-37042eb0c798&amp;b=9e0b2358-a622-44d7-8feb-2e8c6c62811e&amp;ses=4&amp;sh=1&amp;sds=5&amp;</t>
  </si>
  <si>
    <t>https://www.evernote.com/Home.action#n=0ec338d1-f50c-4855-a955-1a8c3474bbb1&amp;b=9e0b2358-a622-44d7-8feb-2e8c6c62811e&amp;ses=4&amp;sh=1&amp;sds=5&amp;</t>
  </si>
  <si>
    <t>https://www.evernote.com/Home.action#n=84d33e57-7c40-47b8-b9fe-08548e270e93&amp;b=9e0b2358-a622-44d7-8feb-2e8c6c62811e&amp;ses=4&amp;sh=1&amp;sds=5&amp;</t>
  </si>
  <si>
    <t>https://www.evernote.com/Home.action#n=d94e960d-b779-49af-9272-0fcfe9b6b56a&amp;b=9e0b2358-a622-44d7-8feb-2e8c6c62811e&amp;ses=4&amp;sh=1&amp;sds=5&amp;</t>
  </si>
  <si>
    <t>https://www.evernote.com/Home.action#n=2a80c6d8-7985-4c2f-a404-3a2f082fe696&amp;b=9e0b2358-a622-44d7-8feb-2e8c6c62811e&amp;ses=4&amp;sh=1&amp;sds=5&amp;</t>
  </si>
  <si>
    <t>https://www.evernote.com/Home.action#n=ff9dd221-133e-4f3a-8ea7-68e3d9f07e72&amp;b=9e0b2358-a622-44d7-8feb-2e8c6c62811e&amp;ses=4&amp;sh=1&amp;sds=5&amp;</t>
  </si>
  <si>
    <t>https://www.evernote.com/Home.action#n=2dd7fd18-a4e4-47b5-b5fd-181060210d21&amp;b=9e0b2358-a622-44d7-8feb-2e8c6c62811e&amp;ses=4&amp;sh=1&amp;sds=5&amp;</t>
  </si>
  <si>
    <t>https://www.evernote.com/Home.action#n=2decad48-875f-47de-8a7d-7690f5c2f6dc&amp;ses=4&amp;sh=2&amp;sds=5&amp;</t>
  </si>
  <si>
    <t>https://www.evernote.com/Home.action#n=b8c814ad-5ca1-4aea-8947-a83a58b714b2&amp;ses=1&amp;sh=5&amp;sds=5&amp;x=fernhill&amp;</t>
  </si>
  <si>
    <t>https://www.evernote.com/Home.action#n=56e0b12b-520b-4580-8cd4-8364c7ef3a11&amp;ses=4&amp;sh=2&amp;sds=5&amp;</t>
  </si>
  <si>
    <t>Deployed a sample but with D3 not working</t>
  </si>
  <si>
    <t>https://sachinsancheti.shinyapps.io/Warehouse-Analysis</t>
  </si>
  <si>
    <t>Warehouse analysis</t>
  </si>
  <si>
    <t>Warehouse Analysis</t>
  </si>
  <si>
    <t>Developed with screenshots. Need to refine it</t>
  </si>
  <si>
    <t>https://sachinsancheti.shinyapps.io/Ops-Analysis-Dashboard</t>
  </si>
  <si>
    <t>Khoo</t>
  </si>
  <si>
    <t>Implemented and can be relicated for other purposes</t>
  </si>
  <si>
    <t>Request for more cards in office. Installed electronic bell</t>
  </si>
  <si>
    <t>Computer Security systems</t>
  </si>
  <si>
    <t>Nilga Product List for Tally, Counter and e-database</t>
  </si>
  <si>
    <t>Wages New Template</t>
  </si>
  <si>
    <t>IndiaMART tracking</t>
  </si>
  <si>
    <t>Contacted all companies to enhance and give status on accounts</t>
  </si>
  <si>
    <t>Trained SK on the tracking module. To give the username details for tracking</t>
  </si>
  <si>
    <t>Amarchand moved down to lower floor</t>
  </si>
  <si>
    <t xml:space="preserve">Need to replace lights </t>
  </si>
  <si>
    <t>Trained SK</t>
  </si>
  <si>
    <t>Registered as Developer with 99acres and activated</t>
  </si>
  <si>
    <t>Quikr registered with 20 ads for 3 months</t>
  </si>
  <si>
    <t>20 ads for 3 months</t>
  </si>
  <si>
    <t>1 year 50 premiums</t>
  </si>
  <si>
    <t>Hillsborough contacts segregated</t>
  </si>
  <si>
    <t>Next moving Hillsdale</t>
  </si>
  <si>
    <t>Explained SK</t>
  </si>
  <si>
    <t>Suitable checklist for layout management</t>
  </si>
  <si>
    <t>Checklist for investment and insurance payment tracking</t>
  </si>
  <si>
    <t>Site visit by Vodafone. 15 m tall pole proposed</t>
  </si>
  <si>
    <t>Mail sent to Reliance, Aircel and MTS</t>
  </si>
  <si>
    <t>Checklist for Transactions</t>
  </si>
  <si>
    <t>Created draft 1</t>
  </si>
  <si>
    <t>Found the caspio solution which can be used potentially</t>
  </si>
  <si>
    <t>Duplicate listings created in Quikr and 99acres</t>
  </si>
  <si>
    <t>Decided on the 6500 Rs. System for Nilga</t>
  </si>
  <si>
    <t>Order sent to Santhosh</t>
  </si>
  <si>
    <t>Halted for now. Sent Security systems in mail to Santhosh</t>
  </si>
  <si>
    <t>Cards handed over and instruction manual created</t>
  </si>
  <si>
    <t>https://www.evernote.com/shard/s244/nl/47233020/81925e4e-1cd1-4d03-a337-2e7bfaee43f0</t>
  </si>
  <si>
    <t>https://www.evernote.com/shard/s244/nl/47233020/4650b13e-a2a4-47a5-b260-67d3ab7e355c</t>
  </si>
  <si>
    <t>https://www.evernote.com/shard/s244/nl/47233020/0431a339-f16c-4f39-af6c-4aad23990871</t>
  </si>
  <si>
    <t>Brochure for Vitrag Group projects</t>
  </si>
  <si>
    <t>Met Daniel for brochure</t>
  </si>
  <si>
    <t>Confirmed photo shoot</t>
  </si>
  <si>
    <t>Advance sent to Daniel</t>
  </si>
  <si>
    <t>Photoshoot Charlie ready to shoot</t>
  </si>
  <si>
    <t>Asset Management</t>
  </si>
  <si>
    <t>Developed module</t>
  </si>
  <si>
    <t>Wrote the vision of the module</t>
  </si>
  <si>
    <t>https://www.evernote.com/shard/s244/nl/47233020/96541f7f-0ee1-421b-ae6e-b243bdc42b8e</t>
  </si>
  <si>
    <t>Location</t>
  </si>
  <si>
    <t>Start_Date</t>
  </si>
  <si>
    <t>Reminder</t>
  </si>
  <si>
    <t>Duration</t>
  </si>
  <si>
    <t>Office</t>
  </si>
  <si>
    <t>Participants</t>
  </si>
  <si>
    <t>SIEMA course</t>
  </si>
  <si>
    <t>Camera for Vitrag group</t>
  </si>
  <si>
    <t>Internet banking</t>
  </si>
  <si>
    <t>Exporting calendar events to Outlook</t>
  </si>
  <si>
    <t>Email ID policy</t>
  </si>
  <si>
    <t>C:\Users\ariha_000\SkyDrive\Asset management - Survey checklist.xlsx</t>
  </si>
  <si>
    <t>Survey Sheet created</t>
  </si>
  <si>
    <t>Preliminary asset management created</t>
  </si>
  <si>
    <t>C:\Users\ariha_000\SkyDrive\Asset management.xlsm</t>
  </si>
  <si>
    <t>Attendance system installed at Nilga</t>
  </si>
  <si>
    <t>Photographs received</t>
  </si>
  <si>
    <t>C:\Users\ariha_000\Desktop\Professional Photos</t>
  </si>
  <si>
    <t>Write up sent to Daniel</t>
  </si>
  <si>
    <t>Received at Vitrag</t>
  </si>
  <si>
    <t>Note sheet created</t>
  </si>
  <si>
    <t>Khivraj reviewed and awaiting finalization</t>
  </si>
  <si>
    <t>Created note sheet on email management</t>
  </si>
  <si>
    <t>https://www.evernote.com/Home.action#n=58cebbd4-1314-41a5-952a-f56707bd4c5f&amp;ses=4&amp;sh=2&amp;sds=5&amp;</t>
  </si>
  <si>
    <t>Created the exporting algorithm from excel to Outlook directly</t>
  </si>
  <si>
    <t>UAT done and tested with Ankit Mohata for his marketing</t>
  </si>
  <si>
    <t>https://www.evernote.com/Home.actihttps://www.evernote.com/Home.action#n=70c64979-dfe0-4c86-b09f-817517f1f951&amp;ses=4&amp;sh=2&amp;sds=5&amp;</t>
  </si>
  <si>
    <t>All shifting done</t>
  </si>
  <si>
    <t>Created the new phone numbers sheets</t>
  </si>
  <si>
    <t>https://www.evernote.com/Home.action#n=70c64979-dfe0-4c86-b09f-817517f1f951&amp;ses=4&amp;sh=2&amp;sds=5&amp;</t>
  </si>
  <si>
    <t>Implemented the security system at Fernhill office</t>
  </si>
  <si>
    <t>Created the mutual funds data scraper from economictimes.com</t>
  </si>
  <si>
    <t>http://sachinsancheti.shinyapps.io/Mutual-Funds</t>
  </si>
  <si>
    <t>https://www.evernote.com/Home.action#n=56e0b12b-520b-4580-8cd4-8364c7ef3a11&amp;b=cea6fa04-f079-4c24-bccb-6f322d59c92e&amp;ses=4&amp;sh=1&amp;sds=5&amp;</t>
  </si>
  <si>
    <t>Created indiamart scraper file in Excel</t>
  </si>
  <si>
    <t>Visited IndusInd and SBT to understand the iBanking</t>
  </si>
  <si>
    <t>Reliance replied and in talks, MTS acknowledged and let us know that the facility does not exist in TN for them</t>
  </si>
  <si>
    <t>Reminder mails sent to Vodafone. Sent documents from our side but not received formal proposal</t>
  </si>
  <si>
    <t>BSNL brought in. Discussed and go ahead for broadband lines</t>
  </si>
  <si>
    <t>Listed streamside x 4 ads on Quikr and 99acres</t>
  </si>
  <si>
    <t>Funds to invest for children - mutual funds scraper</t>
  </si>
  <si>
    <t>Set up done for the security systems at Nilga</t>
  </si>
  <si>
    <t>Review shows 1 alarm incident on 22 feb with no consequences</t>
  </si>
  <si>
    <t>course completed successfully. Need to compile notes</t>
  </si>
  <si>
    <t>New pictures on office frames</t>
  </si>
  <si>
    <t>selected pictures for the frames, and sent for printing</t>
  </si>
  <si>
    <t>Started using the checklist on GG files</t>
  </si>
  <si>
    <t>Requested Mary for documents to fill up files 17, 18, 123</t>
  </si>
  <si>
    <t>IT budget and system management</t>
  </si>
  <si>
    <t>Started noting of the computers details</t>
  </si>
  <si>
    <t>Marked all the possible expenses on IT</t>
  </si>
  <si>
    <t>Templates for Building company</t>
  </si>
  <si>
    <t>Worked on the draft of the po/enquiry and despatch/delivery note books for printing</t>
  </si>
  <si>
    <t>Amendments given to CPP</t>
  </si>
  <si>
    <t>Domain, Website and Official emails</t>
  </si>
  <si>
    <t>Bought the domain vitraggroup.com from goDaddy</t>
  </si>
  <si>
    <t>Working with StackHive on developing the website for vitraggroup.com</t>
  </si>
  <si>
    <t>Going to use legacy account of nilgirirealestate.com for the vitraggroup.com</t>
  </si>
  <si>
    <t>Purchases of stationery</t>
  </si>
  <si>
    <t>Gave order to Venus Agencies</t>
  </si>
  <si>
    <t>Confirmed quantity with Venus Agencies</t>
  </si>
  <si>
    <t>Gokul Gardens presentation for estates</t>
  </si>
  <si>
    <t>Created the mail</t>
  </si>
  <si>
    <t>Received frames from Studio</t>
  </si>
  <si>
    <t>sachin@vitraggroup.com</t>
  </si>
  <si>
    <t>Start_Time</t>
  </si>
  <si>
    <t>No Reminder</t>
  </si>
  <si>
    <t>Spoke to Oomnitza</t>
  </si>
  <si>
    <t>Prepared Process for Builders organization</t>
  </si>
  <si>
    <t>Version 2 of same process</t>
  </si>
  <si>
    <t>Removed the tap card system</t>
  </si>
  <si>
    <t>Description</t>
  </si>
  <si>
    <t>hang photos with Babu</t>
  </si>
  <si>
    <t>Fix PIR</t>
  </si>
  <si>
    <t>migrate to respective society email IDs</t>
  </si>
  <si>
    <t>remove the system, return all cards and place them secured</t>
  </si>
  <si>
    <t>Siva to file the files in GG and close it there</t>
  </si>
  <si>
    <t>Corrections for brochure sent</t>
  </si>
  <si>
    <t>Final Brochure draft</t>
  </si>
  <si>
    <t>Sent for Printing</t>
  </si>
  <si>
    <t>Invited Daniel for visit to Gymkhana</t>
  </si>
  <si>
    <t>Wellington Gymkhana Club</t>
  </si>
  <si>
    <t>Gymkhana Club Billboards</t>
  </si>
  <si>
    <t>Visit to Gymkhana Club with Daniel</t>
  </si>
  <si>
    <t>Started development of the website vitraggroup.com</t>
  </si>
  <si>
    <t>First version of the website created</t>
  </si>
  <si>
    <t>Serenitea and Streamside placed in</t>
  </si>
  <si>
    <t>Incorporate the details of Gokul Gardens presentation in website</t>
  </si>
  <si>
    <t>Handover stationery list to Siva</t>
  </si>
  <si>
    <t>Create Presentation of Gokul Gardens for estates and use same for website</t>
  </si>
  <si>
    <t>Reply to Mail sent to Association on lease line</t>
  </si>
  <si>
    <t>Marketing - Brochures</t>
  </si>
  <si>
    <t>Marketing - SMS</t>
  </si>
  <si>
    <t>Marketing - Banners</t>
  </si>
  <si>
    <t>Marketing - Email</t>
  </si>
  <si>
    <t>Database compilation</t>
  </si>
  <si>
    <t>Sogatharai Listing</t>
  </si>
  <si>
    <t>Bank Loans</t>
  </si>
  <si>
    <t>Driving</t>
  </si>
  <si>
    <t>Golf</t>
  </si>
  <si>
    <t>Shortlisted funds</t>
  </si>
  <si>
    <t>Follow up on Funds to be invested in</t>
  </si>
  <si>
    <t>Sent applications for funds</t>
  </si>
  <si>
    <t>Database management software</t>
  </si>
  <si>
    <t>Just Dial Scaper</t>
  </si>
  <si>
    <t>Foreign Trade Policy</t>
  </si>
  <si>
    <t>Comprehensive marketing plan</t>
  </si>
  <si>
    <t>Home</t>
  </si>
  <si>
    <t>Establishing steel structures</t>
  </si>
  <si>
    <t>Migration done</t>
  </si>
  <si>
    <t>Tap cards returned</t>
  </si>
  <si>
    <t>Site visit taken with Manoj. Planning to have a catch on the board</t>
  </si>
  <si>
    <t>Following up on 3 mutual funds that did not happen</t>
  </si>
  <si>
    <t>Requested CPP to print</t>
  </si>
  <si>
    <t>Wrote minutes and a comprehensive plan of implementation</t>
  </si>
  <si>
    <t>Requested Mary to follow up on the documents</t>
  </si>
  <si>
    <t>Deployed first round - error on shinyapps</t>
  </si>
  <si>
    <t>vitraggroup.shinyapps.io/JustDial</t>
  </si>
  <si>
    <t>Fixing Bugs</t>
  </si>
  <si>
    <t>Going to take pictures</t>
  </si>
  <si>
    <t xml:space="preserve">                                  -  Gokul garden sal</t>
  </si>
  <si>
    <t>Jay Desai               -  Feasibility of floor plan</t>
  </si>
  <si>
    <t xml:space="preserve">                                 -  Fernhill CCTV</t>
  </si>
  <si>
    <t xml:space="preserve">                                 -  Raysharp service</t>
  </si>
  <si>
    <t xml:space="preserve">                                 -  Noor DVR setup</t>
  </si>
  <si>
    <t xml:space="preserve">                                 -  Compuper payment</t>
  </si>
  <si>
    <t xml:space="preserve">                                 -  Fernhill quotation</t>
  </si>
  <si>
    <t xml:space="preserve">                                 -  Serenitea quotation</t>
  </si>
  <si>
    <t>Manmohan          -  Names boards</t>
  </si>
  <si>
    <t xml:space="preserve">                                 -  Sukriti detailed BOQ</t>
  </si>
  <si>
    <t xml:space="preserve">                                 -  Srishti  Plan approval</t>
  </si>
  <si>
    <t xml:space="preserve">                                 -  Srishti Plan</t>
  </si>
  <si>
    <t xml:space="preserve">                                 -  Sukriti plan approval</t>
  </si>
  <si>
    <t>Antony                  -  Noor plan approval</t>
  </si>
  <si>
    <t xml:space="preserve">                                 - Sunnyside extension</t>
  </si>
  <si>
    <t xml:space="preserve">                                 -  Noor Thilak</t>
  </si>
  <si>
    <t xml:space="preserve">                                 -  Jannat Buddha</t>
  </si>
  <si>
    <t xml:space="preserve">                                 -  Streamside revised plan (Thilak consultation)</t>
  </si>
  <si>
    <t xml:space="preserve">                                 -  A/c till date</t>
  </si>
  <si>
    <t xml:space="preserve">                                 -  Fernhill GF plan </t>
  </si>
  <si>
    <t xml:space="preserve">                                 -  Noor site plan marking</t>
  </si>
  <si>
    <t xml:space="preserve">                                 -  Cornestone site marking</t>
  </si>
  <si>
    <t>NSA works           -  Cornestone notes</t>
  </si>
  <si>
    <t xml:space="preserve">                                 -  Nilga land plan</t>
  </si>
  <si>
    <t xml:space="preserve">                                 -  Compressor</t>
  </si>
  <si>
    <t xml:space="preserve">                                 -  Supplier master</t>
  </si>
  <si>
    <t xml:space="preserve">                                 -  Company details</t>
  </si>
  <si>
    <t xml:space="preserve">                                 -  Transport master</t>
  </si>
  <si>
    <t>Nilga works         -  Product mater</t>
  </si>
  <si>
    <t xml:space="preserve">                                 -  New brochures</t>
  </si>
  <si>
    <t xml:space="preserve">                                 -  Bamboo wood</t>
  </si>
  <si>
    <t xml:space="preserve">                                 -  Delhi build expo</t>
  </si>
  <si>
    <t xml:space="preserve">                                 -  Fb marketing Cbe</t>
  </si>
  <si>
    <t xml:space="preserve">                                 -  Electrical agencies</t>
  </si>
  <si>
    <t>Research              -  satec.co.in</t>
  </si>
  <si>
    <t xml:space="preserve">                                 -  Ray Chettan</t>
  </si>
  <si>
    <t xml:space="preserve">                                 -  Brookland sketch update</t>
  </si>
  <si>
    <t xml:space="preserve">                                 -  Deepthi K.</t>
  </si>
  <si>
    <t xml:space="preserve">                                 -  Yaseen Pallat</t>
  </si>
  <si>
    <t xml:space="preserve">                                 -  Update Lalit Naik</t>
  </si>
  <si>
    <t>Marketing            -  update Kannan</t>
  </si>
  <si>
    <t xml:space="preserve">                                 -  Creohub</t>
  </si>
  <si>
    <t xml:space="preserve">                                 -  Babu carpenter</t>
  </si>
  <si>
    <t xml:space="preserve">                                 -  Dileep Glass</t>
  </si>
  <si>
    <t xml:space="preserve">                                 -  Ashok Rajan</t>
  </si>
  <si>
    <t xml:space="preserve">                                 -  Prabhakar welder</t>
  </si>
  <si>
    <t xml:space="preserve">                                 -  Kumar false ceiling</t>
  </si>
  <si>
    <t xml:space="preserve">                                 -  Saravanakumar</t>
  </si>
  <si>
    <t xml:space="preserve">                                 -  Jayakumar planting</t>
  </si>
  <si>
    <t>Teams to meet  -  Jayakumar computer</t>
  </si>
  <si>
    <t xml:space="preserve">                                 -  Safety net</t>
  </si>
  <si>
    <t xml:space="preserve">                                 -  Tank tiling</t>
  </si>
  <si>
    <t xml:space="preserve">                                 -  Stacco quotation</t>
  </si>
  <si>
    <t>Dilip works          -  Planting @ Jannat</t>
  </si>
  <si>
    <t xml:space="preserve">                                 -  M Sand test</t>
  </si>
  <si>
    <t xml:space="preserve">                                 -  Work order form</t>
  </si>
  <si>
    <t xml:space="preserve">                                 -  Noor payment</t>
  </si>
  <si>
    <t xml:space="preserve">                                 -  Fernhill GF Planning</t>
  </si>
  <si>
    <t xml:space="preserve">                                 -  Modak drawings</t>
  </si>
  <si>
    <t xml:space="preserve">                                 -  PP Kits</t>
  </si>
  <si>
    <t xml:space="preserve">                                 -  NSA Noor plan</t>
  </si>
  <si>
    <t xml:space="preserve">                                 -  NSA Streamside</t>
  </si>
  <si>
    <t xml:space="preserve">                                 -  NSA Contract</t>
  </si>
  <si>
    <t>Sachin works      - Po System online</t>
  </si>
  <si>
    <t xml:space="preserve">                                 -  EB Domestic conversions</t>
  </si>
  <si>
    <t xml:space="preserve">                                 -  EB 2x Connections</t>
  </si>
  <si>
    <t>Raju works           -  Voter's Id</t>
  </si>
  <si>
    <t>Loganathan          -  Add on Credit Card</t>
  </si>
  <si>
    <t xml:space="preserve">                                  -  Correct hillsdale to PP</t>
  </si>
  <si>
    <t xml:space="preserve">                                  -  Workorder draft - PO</t>
  </si>
  <si>
    <t>Bhagya works      - SIM for office</t>
  </si>
  <si>
    <t xml:space="preserve">                                  -  Balakrishnan maintenance</t>
  </si>
  <si>
    <t xml:space="preserve">                                  -  Solar room</t>
  </si>
  <si>
    <t xml:space="preserve">                                  -  Batteries and Solar</t>
  </si>
  <si>
    <t xml:space="preserve">                                  -  Direction board streamside</t>
  </si>
  <si>
    <t xml:space="preserve">                                  -  Unit 4B furniture</t>
  </si>
  <si>
    <t>Amar uncle           -  Creekside furniture</t>
  </si>
  <si>
    <t xml:space="preserve">                                  -  Commissioner</t>
  </si>
  <si>
    <t>Benedict works  -  Noor plan approval</t>
  </si>
  <si>
    <t xml:space="preserve">                                          - Update plan approval numbers</t>
  </si>
  <si>
    <t>Chandraseker uncle - Sketches upload</t>
  </si>
  <si>
    <t>Office work</t>
  </si>
  <si>
    <t>Jaichand uncle  -  PO &amp; Invoice relationship</t>
  </si>
  <si>
    <t>Kondass to do estimation for battery</t>
  </si>
  <si>
    <t>Kumar Ooty to finish 2 works</t>
  </si>
  <si>
    <t>Ashok &amp; rajan presenting estimate for Creekside</t>
  </si>
  <si>
    <t>Mr. Dharmaraju giving details for Ramaswamy &amp; Maheshwar</t>
  </si>
  <si>
    <t>Babu to work on 2nd floor room</t>
  </si>
  <si>
    <t>Ram to polish at Sunnyside</t>
  </si>
  <si>
    <t>Alpha bill for civil work</t>
  </si>
  <si>
    <t xml:space="preserve">                  -  Electrical / Plumbing drawings</t>
  </si>
  <si>
    <t>Mdak      -  Reply to queries by Ashok</t>
  </si>
  <si>
    <t xml:space="preserve">                 -  Creekside interios</t>
  </si>
  <si>
    <t xml:space="preserve">                 -  Maheshwar updates</t>
  </si>
  <si>
    <t>Nieil       -  Crofton working drawings</t>
  </si>
  <si>
    <t xml:space="preserve">                 -  Sukriti picket fence boundary</t>
  </si>
  <si>
    <t xml:space="preserve">                 -  Sukriti tank design</t>
  </si>
  <si>
    <t xml:space="preserve">                 -  Sukriti plumbing</t>
  </si>
  <si>
    <t>Antony  -  Sukriti electrical</t>
  </si>
  <si>
    <t xml:space="preserve">                          -  Maheshwar column, foundation + structural details</t>
  </si>
  <si>
    <t xml:space="preserve">                          -  Ramaswamy roof professional opinion</t>
  </si>
  <si>
    <t xml:space="preserve">                          -  Ramaswamy ramp design &amp; qty</t>
  </si>
  <si>
    <t>Architects coordination</t>
  </si>
  <si>
    <t>Dharmaraju  -  Ramaswamy quantities</t>
  </si>
  <si>
    <t>Dilip   -  Picture of site to be sent to Modak</t>
  </si>
  <si>
    <t>Babu  -  Balesters &amp; Rail handle samples</t>
  </si>
  <si>
    <t xml:space="preserve">                                    -  Picture &amp; size dimensions to be sent to Modak</t>
  </si>
  <si>
    <t>Joseph Anandraj  -  Sample for Roman Tile</t>
  </si>
  <si>
    <t xml:space="preserve">                               - Staircase work to start</t>
  </si>
  <si>
    <t xml:space="preserve">                               - Decking heet / GI sheet after confirmation</t>
  </si>
  <si>
    <t xml:space="preserve">                               - Boundary wall &amp; cement pot in progress</t>
  </si>
  <si>
    <t>Ramaswamy</t>
  </si>
  <si>
    <t>Rajan &amp; Ashok - Roof work trusses to start</t>
  </si>
  <si>
    <t>Tank, road work &amp; boundary may commence</t>
  </si>
  <si>
    <t>Maheshwar</t>
  </si>
  <si>
    <t>Rajan &amp; Ashok - Aftr Nieil drawings come in on 5-10th June</t>
  </si>
  <si>
    <t>Electric      - Washing machine fix, bell position change</t>
  </si>
  <si>
    <t xml:space="preserve">                     - correct door alignment - babu</t>
  </si>
  <si>
    <t>Carpentry - Complete framework of TV - Omprakash</t>
  </si>
  <si>
    <t xml:space="preserve">                     - Set up Filter for rainwater harvesting - Fabricator</t>
  </si>
  <si>
    <t>(responsible Vinoth)</t>
  </si>
  <si>
    <t xml:space="preserve">                     - Set up monoblock pump with 150 litre tank</t>
  </si>
  <si>
    <t>Khushboo home work</t>
  </si>
  <si>
    <t>Plumbing - Set up 500 litre overhead storage</t>
  </si>
  <si>
    <t>Sohail Sarooshi commission isprava transaction</t>
  </si>
  <si>
    <t>others</t>
  </si>
  <si>
    <t>Insurance for Ketti streamside</t>
  </si>
  <si>
    <t>Lalit Naik</t>
  </si>
  <si>
    <t>Plan approval billing</t>
  </si>
  <si>
    <t>Noor</t>
  </si>
  <si>
    <t>Billing for well works</t>
  </si>
  <si>
    <t>Thavani Photohoot &amp; Album bill</t>
  </si>
  <si>
    <t>Payment may arisecreohub daniel from Rivieraa / Trinity</t>
  </si>
  <si>
    <t>Advances &amp; Vendors</t>
  </si>
  <si>
    <t>Advance to Kondaar for batteries</t>
  </si>
  <si>
    <t>Dilip uncle to work on Ramaswamy papers loan</t>
  </si>
  <si>
    <t>Estimate for boundary workof Rs. 5.5 lakhs may be asked as advance</t>
  </si>
  <si>
    <t>Bills 10 &amp; 11 of R &amp; A to be presented</t>
  </si>
  <si>
    <t>BOB to get backon required documentation for loan release</t>
  </si>
  <si>
    <t>Maheshwar - Finance</t>
  </si>
  <si>
    <t>Payment to be received for works to commence + plan approval</t>
  </si>
  <si>
    <t>Sunnyside CCTV</t>
  </si>
  <si>
    <t xml:space="preserve">Santhosh - Refletor at home </t>
  </si>
  <si>
    <t>Bulb for ketti</t>
  </si>
  <si>
    <t>Tank cleaning at trade centre</t>
  </si>
  <si>
    <t>Curtain pring</t>
  </si>
  <si>
    <t>Flush tank to office</t>
  </si>
  <si>
    <t>CCTV Cable to modem - January</t>
  </si>
  <si>
    <t>Washing machine position change - January</t>
  </si>
  <si>
    <t>Suresh Nahronah - Streamside</t>
  </si>
  <si>
    <t>Composit pit</t>
  </si>
  <si>
    <t>Sticker /  Karur /Coimbatore / Venus agencies</t>
  </si>
  <si>
    <t>Outdoor use edge beading 40 ft &amp; fevo0col</t>
  </si>
  <si>
    <t>3 Plywood, 16mm, 2 white laminates 1mm or higher</t>
  </si>
  <si>
    <t>Babu fix direction board</t>
  </si>
  <si>
    <t>Cupboard</t>
  </si>
  <si>
    <t>Omprakash Carpenter / Babu</t>
  </si>
  <si>
    <t>Washing machine + Dryer box</t>
  </si>
  <si>
    <t>Boards</t>
  </si>
  <si>
    <t>Keypress</t>
  </si>
  <si>
    <t>SS Hook</t>
  </si>
  <si>
    <t>Umbrella stand</t>
  </si>
  <si>
    <t>Paper plate</t>
  </si>
  <si>
    <t>Tea coaster</t>
  </si>
  <si>
    <t>VIM</t>
  </si>
  <si>
    <t>Tray</t>
  </si>
  <si>
    <t>6 nos Medium cup</t>
  </si>
  <si>
    <t>Buying List</t>
  </si>
  <si>
    <t>6 nos Glass</t>
  </si>
  <si>
    <t>Vaneenraj Prefab presentation</t>
  </si>
  <si>
    <t>Desk check</t>
  </si>
  <si>
    <t>Whatsapp Vishnu images</t>
  </si>
  <si>
    <t>Brookside brochure follow</t>
  </si>
  <si>
    <t>Vitrag brochures</t>
  </si>
  <si>
    <t>Jaikumar follow up</t>
  </si>
  <si>
    <t>Rivieraa Associates letter head</t>
  </si>
  <si>
    <t>Configure laptop</t>
  </si>
  <si>
    <t>M/G Proposal</t>
  </si>
  <si>
    <t>Jaichand uncle name card</t>
  </si>
  <si>
    <t>Spiral binding - 9 books</t>
  </si>
  <si>
    <t>Marketing</t>
  </si>
  <si>
    <t>Every plot rate chart</t>
  </si>
  <si>
    <t>Plotwise cost of ownership</t>
  </si>
  <si>
    <t>del</t>
  </si>
  <si>
    <t>Indus investment company</t>
  </si>
  <si>
    <t>Phamplet for Vishnu Potty</t>
  </si>
  <si>
    <t>Quill hill drafting</t>
  </si>
  <si>
    <t>Loans</t>
  </si>
  <si>
    <t>Sukriti home loan scheme</t>
  </si>
  <si>
    <t>Homestay follow up list for Sukriti</t>
  </si>
  <si>
    <t>Marketing brochure distribution</t>
  </si>
  <si>
    <t>Prefab structures page &amp; campaign</t>
  </si>
  <si>
    <t>Marketing Department</t>
  </si>
  <si>
    <t>Phot album</t>
  </si>
  <si>
    <t>Sachin to talk to Raj  -  9994022966</t>
  </si>
  <si>
    <t>FP campaign results</t>
  </si>
  <si>
    <t>Nilga Print Matter</t>
  </si>
  <si>
    <t>Invitation</t>
  </si>
  <si>
    <t>Mailers</t>
  </si>
  <si>
    <t>99acres</t>
  </si>
  <si>
    <t xml:space="preserve">Website </t>
  </si>
  <si>
    <t>Google Business Review</t>
  </si>
  <si>
    <t>Pipedrive updates</t>
  </si>
  <si>
    <t>Jannat, Fairview and Mohan Photobooks</t>
  </si>
  <si>
    <t>Sachin</t>
  </si>
  <si>
    <t>follow Ramaswamy bank loan</t>
  </si>
  <si>
    <t>Jaichand</t>
  </si>
  <si>
    <t>Gurudev photo in office</t>
  </si>
  <si>
    <t>Internet banking activation / card activation</t>
  </si>
  <si>
    <t>Activate SIB withdrawal (change of number)</t>
  </si>
  <si>
    <t>Optimization Vitrag Website</t>
  </si>
  <si>
    <t>SMS marketing</t>
  </si>
  <si>
    <t>Corres</t>
  </si>
  <si>
    <t>Clean of all computers at fernhill</t>
  </si>
  <si>
    <t>Activate Palm Meadows site with Adwords</t>
  </si>
  <si>
    <t>Lambs Rock marketing proposition</t>
  </si>
  <si>
    <t>Palm Meadows marketing proposition</t>
  </si>
  <si>
    <t>Streamside marketing propositin</t>
  </si>
  <si>
    <t>18 Acres marketing proposition</t>
  </si>
  <si>
    <t>Dept</t>
  </si>
  <si>
    <t>Sheet No:</t>
  </si>
  <si>
    <t>Column1</t>
  </si>
  <si>
    <t>Sr.#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</si>
</sst>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mm\-yy"/>
  </numFmts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indexed="44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4">
    <xf numFmtId="0" fontId="0" fillId="0" borderId="0" xfId="0"/>
    <xf numFmtId="0" fontId="2" fillId="2" borderId="0" xfId="0" applyFont="1" applyFill="1" applyBorder="1"/>
    <xf numFmtId="0" fontId="4" fillId="2" borderId="0" xfId="0" applyFont="1" applyFill="1"/>
    <xf numFmtId="0" fontId="3" fillId="0" borderId="0" xfId="0" applyFont="1"/>
    <xf numFmtId="0" fontId="4" fillId="2" borderId="0" xfId="0" applyFont="1" applyFill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15" fontId="0" fillId="0" borderId="1" xfId="0" applyNumberFormat="1" applyBorder="1"/>
    <xf numFmtId="49" fontId="0" fillId="0" borderId="1" xfId="0" applyNumberFormat="1" applyBorder="1"/>
    <xf numFmtId="0" fontId="0" fillId="0" borderId="1" xfId="0" applyNumberFormat="1" applyBorder="1"/>
    <xf numFmtId="0" fontId="0" fillId="0" borderId="0" xfId="0" applyFont="1" applyBorder="1"/>
    <xf numFmtId="15" fontId="0" fillId="0" borderId="0" xfId="0" applyNumberFormat="1" applyBorder="1"/>
    <xf numFmtId="49" fontId="0" fillId="0" borderId="0" xfId="0" applyNumberFormat="1" applyFont="1" applyBorder="1"/>
    <xf numFmtId="49" fontId="1" fillId="0" borderId="0" xfId="1" applyNumberFormat="1" applyFont="1" applyBorder="1"/>
    <xf numFmtId="0" fontId="0" fillId="0" borderId="0" xfId="0" applyBorder="1"/>
    <xf numFmtId="0" fontId="0" fillId="0" borderId="2" xfId="0" applyBorder="1"/>
    <xf numFmtId="0" fontId="0" fillId="0" borderId="2" xfId="0" applyNumberFormat="1" applyBorder="1"/>
    <xf numFmtId="49" fontId="0" fillId="0" borderId="2" xfId="0" applyNumberFormat="1" applyBorder="1"/>
    <xf numFmtId="15" fontId="0" fillId="0" borderId="2" xfId="0" applyNumberFormat="1" applyBorder="1"/>
    <xf numFmtId="0" fontId="0" fillId="0" borderId="0" xfId="0" applyFont="1"/>
    <xf numFmtId="15" fontId="0" fillId="0" borderId="0" xfId="0" applyNumberFormat="1" applyFont="1"/>
    <xf numFmtId="49" fontId="0" fillId="0" borderId="0" xfId="0" applyNumberFormat="1" applyFont="1"/>
    <xf numFmtId="0" fontId="1" fillId="0" borderId="0" xfId="1"/>
    <xf numFmtId="49" fontId="1" fillId="0" borderId="0" xfId="1" applyNumberFormat="1" applyFont="1"/>
    <xf numFmtId="49" fontId="0" fillId="0" borderId="0" xfId="1" applyNumberFormat="1" applyFont="1"/>
    <xf numFmtId="0" fontId="1" fillId="0" borderId="2" xfId="1" applyBorder="1"/>
    <xf numFmtId="0" fontId="5" fillId="0" borderId="0" xfId="0" applyFont="1" applyAlignment="1">
      <alignment horizontal="center"/>
    </xf>
    <xf numFmtId="0" fontId="5" fillId="0" borderId="0" xfId="0" applyFont="1"/>
    <xf numFmtId="15" fontId="5" fillId="0" borderId="0" xfId="0" applyNumberFormat="1" applyFont="1"/>
    <xf numFmtId="49" fontId="5" fillId="0" borderId="0" xfId="0" applyNumberFormat="1" applyFont="1"/>
    <xf numFmtId="49" fontId="6" fillId="0" borderId="0" xfId="1" applyNumberFormat="1" applyFont="1"/>
    <xf numFmtId="49" fontId="5" fillId="0" borderId="0" xfId="1" applyNumberFormat="1" applyFont="1"/>
    <xf numFmtId="0" fontId="7" fillId="0" borderId="0" xfId="0" applyFont="1" applyAlignment="1">
      <alignment horizontal="center"/>
    </xf>
    <xf numFmtId="0" fontId="7" fillId="0" borderId="0" xfId="0" applyFont="1"/>
    <xf numFmtId="49" fontId="7" fillId="0" borderId="0" xfId="0" applyNumberFormat="1" applyFont="1"/>
    <xf numFmtId="49" fontId="8" fillId="0" borderId="0" xfId="1" applyNumberFormat="1" applyFont="1"/>
    <xf numFmtId="49" fontId="7" fillId="0" borderId="0" xfId="1" applyNumberFormat="1" applyFont="1"/>
    <xf numFmtId="0" fontId="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/>
    <xf numFmtId="15" fontId="9" fillId="0" borderId="0" xfId="0" applyNumberFormat="1" applyFont="1"/>
    <xf numFmtId="49" fontId="9" fillId="0" borderId="0" xfId="0" applyNumberFormat="1" applyFont="1"/>
    <xf numFmtId="49" fontId="10" fillId="0" borderId="0" xfId="1" applyNumberFormat="1" applyFont="1"/>
    <xf numFmtId="49" fontId="9" fillId="0" borderId="0" xfId="1" applyNumberFormat="1" applyFont="1"/>
    <xf numFmtId="0" fontId="1" fillId="0" borderId="1" xfId="1" applyBorder="1"/>
    <xf numFmtId="0" fontId="0" fillId="0" borderId="0" xfId="0" applyFill="1"/>
    <xf numFmtId="18" fontId="0" fillId="0" borderId="0" xfId="0" applyNumberFormat="1" applyFill="1"/>
    <xf numFmtId="15" fontId="0" fillId="0" borderId="0" xfId="0" applyNumberFormat="1" applyFill="1"/>
    <xf numFmtId="22" fontId="1" fillId="0" borderId="0" xfId="1" applyNumberFormat="1" applyFill="1"/>
    <xf numFmtId="0" fontId="11" fillId="0" borderId="0" xfId="0" applyFont="1" applyAlignment="1">
      <alignment horizontal="center"/>
    </xf>
    <xf numFmtId="0" fontId="11" fillId="0" borderId="0" xfId="0" applyFont="1"/>
    <xf numFmtId="164" fontId="11" fillId="0" borderId="0" xfId="0" applyNumberFormat="1" applyFont="1"/>
    <xf numFmtId="49" fontId="11" fillId="0" borderId="0" xfId="0" applyNumberFormat="1" applyFont="1"/>
    <xf numFmtId="49" fontId="12" fillId="0" borderId="0" xfId="1" applyNumberFormat="1" applyFont="1"/>
    <xf numFmtId="49" fontId="11" fillId="0" borderId="0" xfId="1" applyNumberFormat="1" applyFont="1"/>
    <xf numFmtId="164" fontId="0" fillId="0" borderId="2" xfId="0" applyNumberFormat="1" applyBorder="1"/>
    <xf numFmtId="164" fontId="0" fillId="0" borderId="0" xfId="0" applyNumberFormat="1" applyFont="1"/>
    <xf numFmtId="164" fontId="0" fillId="0" borderId="1" xfId="0" applyNumberFormat="1" applyBorder="1"/>
    <xf numFmtId="2" fontId="0" fillId="0" borderId="0" xfId="0" applyNumberFormat="1" applyFill="1"/>
    <xf numFmtId="0" fontId="1" fillId="0" borderId="0" xfId="1" applyFill="1"/>
    <xf numFmtId="0" fontId="13" fillId="0" borderId="0" xfId="0" applyFont="1" applyFill="1"/>
    <xf numFmtId="0" fontId="0" fillId="0" borderId="0" xfId="0" applyFont="1" applyFill="1"/>
    <xf numFmtId="22" fontId="0" fillId="0" borderId="0" xfId="0" applyNumberFormat="1" applyFill="1"/>
    <xf numFmtId="0" fontId="0" fillId="3" borderId="0" xfId="0" applyFont="1" applyFill="1"/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Fill="1" applyBorder="1"/>
    <xf numFmtId="0" fontId="0" fillId="0" borderId="3" xfId="0" applyBorder="1"/>
    <xf numFmtId="0" fontId="0" fillId="0" borderId="4" xfId="0" applyBorder="1"/>
    <xf numFmtId="0" fontId="0" fillId="0" borderId="5" xfId="0" applyBorder="1" applyAlignment="1">
      <alignment horizontal="right"/>
    </xf>
    <xf numFmtId="0" fontId="0" fillId="0" borderId="5" xfId="0" applyBorder="1"/>
    <xf numFmtId="0" fontId="0" fillId="0" borderId="3" xfId="0" applyBorder="1" applyAlignment="1">
      <alignment horizontal="center"/>
    </xf>
    <xf numFmtId="0" fontId="14" fillId="0" borderId="5" xfId="0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54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d\-mmm\-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d\-mmm\-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d\-mmm\-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d\-mmm\-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border outline="0">
        <left style="thin">
          <color theme="1"/>
        </lef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I67" totalsRowShown="0" headerRowDxfId="51" dataDxfId="50" tableBorderDxfId="49">
  <autoFilter ref="A2:I67" xr:uid="{00000000-0009-0000-0100-000002000000}"/>
  <tableColumns count="9">
    <tableColumn id="6" xr3:uid="{00000000-0010-0000-0000-000006000000}" name="Number" dataDxfId="48" totalsRowDxfId="47"/>
    <tableColumn id="1" xr3:uid="{00000000-0010-0000-0000-000001000000}" name="Initiative" dataDxfId="46" totalsRowDxfId="45"/>
    <tableColumn id="7" xr3:uid="{00000000-0010-0000-0000-000007000000}" name="Date Contacted" dataDxfId="44" totalsRowDxfId="43"/>
    <tableColumn id="2" xr3:uid="{00000000-0010-0000-0000-000002000000}" name="Division" dataDxfId="42" totalsRowDxfId="41"/>
    <tableColumn id="3" xr3:uid="{00000000-0010-0000-0000-000003000000}" name="Site" dataDxfId="40" totalsRowDxfId="39"/>
    <tableColumn id="4" xr3:uid="{00000000-0010-0000-0000-000004000000}" name="Contact Details" dataDxfId="38" totalsRowDxfId="37"/>
    <tableColumn id="5" xr3:uid="{00000000-0010-0000-0000-000005000000}" name="Email ID" dataDxfId="36" totalsRowDxfId="35" dataCellStyle="Hyperlink"/>
    <tableColumn id="10" xr3:uid="{00000000-0010-0000-0000-00000A000000}" name="Tags" dataDxfId="34" totalsRowDxfId="33" dataCellStyle="Hyperlink"/>
    <tableColumn id="8" xr3:uid="{00000000-0010-0000-0000-000008000000}" name="Enquiry" dataDxfId="32" totalsRowDxfId="31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1:L114" totalsRowShown="0">
  <autoFilter ref="A1:L114" xr:uid="{00000000-0009-0000-0100-000001000000}"/>
  <sortState xmlns:xlrd2="http://schemas.microsoft.com/office/spreadsheetml/2017/richdata2" ref="A2:K54">
    <sortCondition ref="F1:F54"/>
  </sortState>
  <tableColumns count="12">
    <tableColumn id="1" xr3:uid="{00000000-0010-0000-0100-000001000000}" name="Initiative" dataDxfId="30" totalsRowDxfId="29"/>
    <tableColumn id="5" xr3:uid="{00000000-0010-0000-0100-000005000000}" name="Division" dataDxfId="28" totalsRowDxfId="27">
      <calculatedColumnFormula>ZeroToBlank(INDEX(Table2[Division],MATCH(Table1[[#This Row],[Initiative]],Table2[Initiative],0)))</calculatedColumnFormula>
    </tableColumn>
    <tableColumn id="6" xr3:uid="{00000000-0010-0000-0100-000006000000}" name="Site" dataDxfId="26" totalsRowDxfId="25">
      <calculatedColumnFormula>ZeroToBlank(INDEX(Table2[Site],MATCH(Table1[[#This Row],[Initiative]],Table2[Initiative],0)))</calculatedColumnFormula>
    </tableColumn>
    <tableColumn id="8" xr3:uid="{00000000-0010-0000-0100-000008000000}" name="Contact Details" dataDxfId="24" totalsRowDxfId="23">
      <calculatedColumnFormula>ZeroToBlank(INDEX(Table2[Contact Details],MATCH(Table1[[#This Row],[Initiative]],Table2[Initiative],0)))</calculatedColumnFormula>
    </tableColumn>
    <tableColumn id="9" xr3:uid="{00000000-0010-0000-0100-000009000000}" name="Email ID" dataDxfId="22" totalsRowDxfId="21">
      <calculatedColumnFormula>ZeroToBlank(INDEX(Table2[Email ID],MATCH(Table1[[#This Row],[Initiative]],Table2[Initiative],0)))</calculatedColumnFormula>
    </tableColumn>
    <tableColumn id="2" xr3:uid="{00000000-0010-0000-0100-000002000000}" name="Status of work" dataDxfId="20" totalsRowDxfId="19"/>
    <tableColumn id="3" xr3:uid="{00000000-0010-0000-0100-000003000000}" name="Date" dataDxfId="18" totalsRowDxfId="17"/>
    <tableColumn id="4" xr3:uid="{00000000-0010-0000-0100-000004000000}" name="Notes" dataDxfId="16" totalsRowDxfId="15"/>
    <tableColumn id="11" xr3:uid="{00000000-0010-0000-0100-00000B000000}" name="Tags" dataDxfId="14" totalsRowDxfId="13"/>
    <tableColumn id="12" xr3:uid="{00000000-0010-0000-0100-00000C000000}" name="Links" dataDxfId="12" totalsRowDxfId="11"/>
    <tableColumn id="7" xr3:uid="{00000000-0010-0000-0100-000007000000}" name="Coordinating with" dataDxfId="10" totalsRowDxfId="9"/>
    <tableColumn id="10" xr3:uid="{00000000-0010-0000-0100-00000A000000}" name="Discussion results" dataDxfId="8" totalsRowDxfId="7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8A23D4-74DE-4BE1-8783-C5641AB99076}" name="Table14" displayName="Table14" ref="A1:E211" totalsRowShown="0" headerRowBorderDxfId="6" tableBorderDxfId="5">
  <autoFilter ref="A1:E211" xr:uid="{7EBA04D3-D8F9-4251-8194-A9FE944004BA}"/>
  <tableColumns count="5">
    <tableColumn id="1" xr3:uid="{7940AF20-3D40-4166-A1D7-E093E07EA042}" name="Sr.#" dataDxfId="4"/>
    <tableColumn id="2" xr3:uid="{04890B4F-586E-4C58-B7DC-FAC56F62539C}" name="Description" dataDxfId="3"/>
    <tableColumn id="3" xr3:uid="{0EB6A0C2-FE6B-40CA-BEF1-0FDFBFB5A073}" name="Column1" dataDxfId="2"/>
    <tableColumn id="4" xr3:uid="{7C5C3069-A45F-42D1-AAF6-299628E5FCDC}" name="Sheet No:" dataDxfId="1"/>
    <tableColumn id="5" xr3:uid="{E0711989-FB70-45CD-972F-526EC4C5D4A4}" name="Dept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evernote.com/Home.action" TargetMode="External"/><Relationship Id="rId13" Type="http://schemas.openxmlformats.org/officeDocument/2006/relationships/hyperlink" Target="https://sachinsancheti.shinyapps.io/Ops-Analysis-Dashboard" TargetMode="External"/><Relationship Id="rId18" Type="http://schemas.openxmlformats.org/officeDocument/2006/relationships/hyperlink" Target="https://www.evernote.com/shard/s244/nl/47233020/96541f7f-0ee1-421b-ae6e-b243bdc42b8e" TargetMode="External"/><Relationship Id="rId3" Type="http://schemas.openxmlformats.org/officeDocument/2006/relationships/hyperlink" Target="https://www.evernote.com/Home.action" TargetMode="External"/><Relationship Id="rId21" Type="http://schemas.openxmlformats.org/officeDocument/2006/relationships/hyperlink" Target="https://www.evernote.com/Home.action" TargetMode="External"/><Relationship Id="rId7" Type="http://schemas.openxmlformats.org/officeDocument/2006/relationships/hyperlink" Target="https://www.evernote.com/Home.action" TargetMode="External"/><Relationship Id="rId12" Type="http://schemas.openxmlformats.org/officeDocument/2006/relationships/hyperlink" Target="https://sachinsancheti.shinyapps.io/Warehouse-Analysis" TargetMode="External"/><Relationship Id="rId17" Type="http://schemas.openxmlformats.org/officeDocument/2006/relationships/hyperlink" Target="https://www.evernote.com/shard/s244/nl/47233020/0431a339-f16c-4f39-af6c-4aad23990871" TargetMode="External"/><Relationship Id="rId25" Type="http://schemas.openxmlformats.org/officeDocument/2006/relationships/table" Target="../tables/table2.xml"/><Relationship Id="rId2" Type="http://schemas.openxmlformats.org/officeDocument/2006/relationships/hyperlink" Target="https://www.evernote.com/Home.action" TargetMode="External"/><Relationship Id="rId16" Type="http://schemas.openxmlformats.org/officeDocument/2006/relationships/hyperlink" Target="https://www.evernote.com/shard/s244/nl/47233020/4650b13e-a2a4-47a5-b260-67d3ab7e355c" TargetMode="External"/><Relationship Id="rId20" Type="http://schemas.openxmlformats.org/officeDocument/2006/relationships/hyperlink" Target="https://www.evernote.com/Home.actihttps:/www.evernote.com/Home.action" TargetMode="External"/><Relationship Id="rId1" Type="http://schemas.openxmlformats.org/officeDocument/2006/relationships/hyperlink" Target="https://www.evernote.com/Home.action" TargetMode="External"/><Relationship Id="rId6" Type="http://schemas.openxmlformats.org/officeDocument/2006/relationships/hyperlink" Target="https://www.evernote.com/Home.action" TargetMode="External"/><Relationship Id="rId11" Type="http://schemas.openxmlformats.org/officeDocument/2006/relationships/hyperlink" Target="https://www.evernote.com/Home.action" TargetMode="External"/><Relationship Id="rId24" Type="http://schemas.openxmlformats.org/officeDocument/2006/relationships/printerSettings" Target="../printerSettings/printerSettings2.bin"/><Relationship Id="rId5" Type="http://schemas.openxmlformats.org/officeDocument/2006/relationships/hyperlink" Target="https://www.evernote.com/Home.action" TargetMode="External"/><Relationship Id="rId15" Type="http://schemas.openxmlformats.org/officeDocument/2006/relationships/hyperlink" Target="https://www.evernote.com/shard/s244/nl/47233020/81925e4e-1cd1-4d03-a337-2e7bfaee43f0" TargetMode="External"/><Relationship Id="rId23" Type="http://schemas.openxmlformats.org/officeDocument/2006/relationships/hyperlink" Target="https://www.evernote.com/Home.action" TargetMode="External"/><Relationship Id="rId10" Type="http://schemas.openxmlformats.org/officeDocument/2006/relationships/hyperlink" Target="https://www.evernote.com/Home.action" TargetMode="External"/><Relationship Id="rId19" Type="http://schemas.openxmlformats.org/officeDocument/2006/relationships/hyperlink" Target="https://www.evernote.com/Home.action" TargetMode="External"/><Relationship Id="rId4" Type="http://schemas.openxmlformats.org/officeDocument/2006/relationships/hyperlink" Target="https://www.evernote.com/Home.action" TargetMode="External"/><Relationship Id="rId9" Type="http://schemas.openxmlformats.org/officeDocument/2006/relationships/hyperlink" Target="https://www.evernote.com/Home.action" TargetMode="External"/><Relationship Id="rId14" Type="http://schemas.openxmlformats.org/officeDocument/2006/relationships/hyperlink" Target="https://www.evernote.com/shard/s244/nl/47233020/81925e4e-1cd1-4d03-a337-2e7bfaee43f0" TargetMode="External"/><Relationship Id="rId22" Type="http://schemas.openxmlformats.org/officeDocument/2006/relationships/hyperlink" Target="http://sachinsancheti.shinyapps.io/Mutual-Fund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sachin@vitraggroup.com" TargetMode="External"/><Relationship Id="rId13" Type="http://schemas.openxmlformats.org/officeDocument/2006/relationships/printerSettings" Target="../printerSettings/printerSettings3.bin"/><Relationship Id="rId3" Type="http://schemas.openxmlformats.org/officeDocument/2006/relationships/hyperlink" Target="mailto:sachin@vitraggroup.com" TargetMode="External"/><Relationship Id="rId7" Type="http://schemas.openxmlformats.org/officeDocument/2006/relationships/hyperlink" Target="mailto:sachin@vitraggroup.com" TargetMode="External"/><Relationship Id="rId12" Type="http://schemas.openxmlformats.org/officeDocument/2006/relationships/hyperlink" Target="mailto:sachin@vitraggroup.com" TargetMode="External"/><Relationship Id="rId2" Type="http://schemas.openxmlformats.org/officeDocument/2006/relationships/hyperlink" Target="mailto:sachin@vitraggroup.com" TargetMode="External"/><Relationship Id="rId1" Type="http://schemas.openxmlformats.org/officeDocument/2006/relationships/hyperlink" Target="mailto:sachin@vitraggroup.com" TargetMode="External"/><Relationship Id="rId6" Type="http://schemas.openxmlformats.org/officeDocument/2006/relationships/hyperlink" Target="mailto:sachin@vitraggroup.com" TargetMode="External"/><Relationship Id="rId11" Type="http://schemas.openxmlformats.org/officeDocument/2006/relationships/hyperlink" Target="mailto:sachin@vitraggroup.com" TargetMode="External"/><Relationship Id="rId5" Type="http://schemas.openxmlformats.org/officeDocument/2006/relationships/hyperlink" Target="mailto:sachin@vitraggroup.com" TargetMode="External"/><Relationship Id="rId10" Type="http://schemas.openxmlformats.org/officeDocument/2006/relationships/hyperlink" Target="mailto:sachin@vitraggroup.com" TargetMode="External"/><Relationship Id="rId4" Type="http://schemas.openxmlformats.org/officeDocument/2006/relationships/hyperlink" Target="mailto:sachin@vitraggroup.com" TargetMode="External"/><Relationship Id="rId9" Type="http://schemas.openxmlformats.org/officeDocument/2006/relationships/hyperlink" Target="mailto:sachin@vitraggroup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I67"/>
  <sheetViews>
    <sheetView topLeftCell="A2" workbookViewId="0">
      <selection activeCell="B2" sqref="B2"/>
    </sheetView>
  </sheetViews>
  <sheetFormatPr defaultRowHeight="14.4" x14ac:dyDescent="0.3"/>
  <cols>
    <col min="1" max="1" width="12.88671875" style="6" bestFit="1" customWidth="1"/>
    <col min="2" max="2" width="44.109375" bestFit="1" customWidth="1"/>
    <col min="3" max="3" width="17" bestFit="1" customWidth="1"/>
    <col min="4" max="4" width="10.88671875" bestFit="1" customWidth="1"/>
    <col min="5" max="5" width="6.6640625" bestFit="1" customWidth="1"/>
    <col min="6" max="6" width="16.6640625" bestFit="1" customWidth="1"/>
    <col min="7" max="7" width="10.44140625" bestFit="1" customWidth="1"/>
    <col min="8" max="8" width="7.109375" bestFit="1" customWidth="1"/>
    <col min="9" max="9" width="10" bestFit="1" customWidth="1"/>
  </cols>
  <sheetData>
    <row r="2" spans="1:9" x14ac:dyDescent="0.3">
      <c r="A2" s="4" t="s">
        <v>11</v>
      </c>
      <c r="B2" s="1" t="s">
        <v>0</v>
      </c>
      <c r="C2" t="s">
        <v>12</v>
      </c>
      <c r="D2" s="1" t="s">
        <v>4</v>
      </c>
      <c r="E2" s="1" t="s">
        <v>6</v>
      </c>
      <c r="F2" s="1" t="s">
        <v>7</v>
      </c>
      <c r="G2" s="1" t="s">
        <v>8</v>
      </c>
      <c r="H2" s="2" t="s">
        <v>9</v>
      </c>
      <c r="I2" s="2" t="s">
        <v>13</v>
      </c>
    </row>
    <row r="3" spans="1:9" x14ac:dyDescent="0.3">
      <c r="A3" s="5">
        <v>1</v>
      </c>
      <c r="B3" s="11" t="s">
        <v>29</v>
      </c>
      <c r="C3" s="12">
        <v>42008</v>
      </c>
      <c r="D3" s="12" t="s">
        <v>43</v>
      </c>
      <c r="E3" s="11"/>
      <c r="F3" s="13"/>
      <c r="G3" s="14"/>
      <c r="H3" s="3"/>
      <c r="I3" s="15"/>
    </row>
    <row r="4" spans="1:9" x14ac:dyDescent="0.3">
      <c r="A4" s="5">
        <v>2</v>
      </c>
      <c r="B4" s="20" t="s">
        <v>15</v>
      </c>
      <c r="C4" s="21">
        <v>41999</v>
      </c>
      <c r="D4" s="21" t="s">
        <v>43</v>
      </c>
      <c r="E4" s="20"/>
      <c r="F4" s="22"/>
      <c r="G4" s="24"/>
      <c r="H4" s="25"/>
      <c r="I4" s="20"/>
    </row>
    <row r="5" spans="1:9" x14ac:dyDescent="0.3">
      <c r="A5" s="5">
        <v>3</v>
      </c>
      <c r="B5" s="20" t="s">
        <v>28</v>
      </c>
      <c r="C5" s="21">
        <v>42008</v>
      </c>
      <c r="D5" s="21" t="s">
        <v>43</v>
      </c>
      <c r="E5" s="20"/>
      <c r="F5" s="22"/>
      <c r="G5" s="24"/>
      <c r="H5" s="25"/>
      <c r="I5" s="20"/>
    </row>
    <row r="6" spans="1:9" x14ac:dyDescent="0.3">
      <c r="A6" s="5">
        <v>4</v>
      </c>
      <c r="B6" s="20" t="s">
        <v>40</v>
      </c>
      <c r="C6" s="21">
        <v>42011</v>
      </c>
      <c r="D6" s="21" t="s">
        <v>49</v>
      </c>
      <c r="E6" s="20"/>
      <c r="F6" s="22"/>
      <c r="G6" s="24"/>
      <c r="H6" s="25"/>
      <c r="I6" s="20"/>
    </row>
    <row r="7" spans="1:9" x14ac:dyDescent="0.3">
      <c r="A7" s="5">
        <v>5</v>
      </c>
      <c r="B7" s="20" t="s">
        <v>39</v>
      </c>
      <c r="C7" s="21">
        <v>42011</v>
      </c>
      <c r="D7" s="21" t="s">
        <v>49</v>
      </c>
      <c r="E7" s="20"/>
      <c r="F7" s="22"/>
      <c r="G7" s="24"/>
      <c r="H7" s="25"/>
      <c r="I7" s="20"/>
    </row>
    <row r="8" spans="1:9" x14ac:dyDescent="0.3">
      <c r="A8" s="5">
        <v>6</v>
      </c>
      <c r="B8" s="20" t="s">
        <v>26</v>
      </c>
      <c r="C8" s="21">
        <v>42008</v>
      </c>
      <c r="D8" s="21" t="s">
        <v>47</v>
      </c>
      <c r="E8" s="20"/>
      <c r="F8" s="22"/>
      <c r="G8" s="24"/>
      <c r="H8" s="25"/>
      <c r="I8" s="20"/>
    </row>
    <row r="9" spans="1:9" x14ac:dyDescent="0.3">
      <c r="A9" s="5">
        <v>7</v>
      </c>
      <c r="B9" s="20" t="s">
        <v>42</v>
      </c>
      <c r="C9" s="21">
        <v>42011</v>
      </c>
      <c r="D9" s="21" t="s">
        <v>44</v>
      </c>
      <c r="E9" s="20"/>
      <c r="F9" s="22"/>
      <c r="G9" s="24"/>
      <c r="H9" s="25"/>
      <c r="I9" s="20"/>
    </row>
    <row r="10" spans="1:9" x14ac:dyDescent="0.3">
      <c r="A10" s="5">
        <v>8</v>
      </c>
      <c r="B10" s="20" t="s">
        <v>38</v>
      </c>
      <c r="C10" s="21">
        <v>42011</v>
      </c>
      <c r="D10" s="21" t="s">
        <v>44</v>
      </c>
      <c r="E10" s="20"/>
      <c r="F10" s="22"/>
      <c r="G10" s="24"/>
      <c r="H10" s="25"/>
      <c r="I10" s="20"/>
    </row>
    <row r="11" spans="1:9" x14ac:dyDescent="0.3">
      <c r="A11" s="5">
        <v>9</v>
      </c>
      <c r="B11" s="20" t="s">
        <v>33</v>
      </c>
      <c r="C11" s="21">
        <v>42011</v>
      </c>
      <c r="D11" s="21" t="s">
        <v>45</v>
      </c>
      <c r="E11" s="20"/>
      <c r="F11" s="22"/>
      <c r="G11" s="24"/>
      <c r="H11" s="25"/>
      <c r="I11" s="20"/>
    </row>
    <row r="12" spans="1:9" x14ac:dyDescent="0.3">
      <c r="A12" s="5">
        <v>10</v>
      </c>
      <c r="B12" s="20" t="s">
        <v>25</v>
      </c>
      <c r="C12" s="21">
        <v>42015</v>
      </c>
      <c r="D12" s="21" t="s">
        <v>44</v>
      </c>
      <c r="E12" s="20"/>
      <c r="F12" s="22"/>
      <c r="G12" s="24"/>
      <c r="H12" s="25"/>
      <c r="I12" s="20"/>
    </row>
    <row r="13" spans="1:9" x14ac:dyDescent="0.3">
      <c r="A13" s="5">
        <v>11</v>
      </c>
      <c r="B13" s="20" t="s">
        <v>22</v>
      </c>
      <c r="C13" s="21">
        <v>42007</v>
      </c>
      <c r="D13" s="21" t="s">
        <v>46</v>
      </c>
      <c r="E13" s="20"/>
      <c r="F13" s="22"/>
      <c r="G13" s="24"/>
      <c r="H13" s="25"/>
      <c r="I13" s="20"/>
    </row>
    <row r="14" spans="1:9" x14ac:dyDescent="0.3">
      <c r="A14" s="5">
        <v>12</v>
      </c>
      <c r="B14" s="20" t="s">
        <v>20</v>
      </c>
      <c r="C14" s="21">
        <v>42005</v>
      </c>
      <c r="D14" s="21" t="s">
        <v>45</v>
      </c>
      <c r="E14" s="20"/>
      <c r="F14" s="22"/>
      <c r="G14" s="24"/>
      <c r="H14" s="25"/>
      <c r="I14" s="20"/>
    </row>
    <row r="15" spans="1:9" x14ac:dyDescent="0.3">
      <c r="A15" s="5">
        <v>13</v>
      </c>
      <c r="B15" s="20" t="s">
        <v>21</v>
      </c>
      <c r="C15" s="21">
        <v>42007</v>
      </c>
      <c r="D15" s="21" t="s">
        <v>43</v>
      </c>
      <c r="E15" s="20"/>
      <c r="F15" s="22"/>
      <c r="G15" s="24"/>
      <c r="H15" s="25"/>
      <c r="I15" s="20"/>
    </row>
    <row r="16" spans="1:9" x14ac:dyDescent="0.3">
      <c r="A16" s="5">
        <v>14</v>
      </c>
      <c r="B16" s="20" t="s">
        <v>17</v>
      </c>
      <c r="C16" s="21">
        <v>42000</v>
      </c>
      <c r="D16" s="21" t="s">
        <v>49</v>
      </c>
      <c r="E16" s="20"/>
      <c r="F16" s="22"/>
      <c r="G16" s="24"/>
      <c r="H16" s="25"/>
      <c r="I16" s="20"/>
    </row>
    <row r="17" spans="1:9" x14ac:dyDescent="0.3">
      <c r="A17" s="5">
        <v>15</v>
      </c>
      <c r="B17" s="20" t="s">
        <v>30</v>
      </c>
      <c r="C17" s="21">
        <v>42001</v>
      </c>
      <c r="D17" s="21" t="s">
        <v>44</v>
      </c>
      <c r="E17" s="20"/>
      <c r="F17" s="22"/>
      <c r="G17" s="24"/>
      <c r="H17" s="25"/>
      <c r="I17" s="20"/>
    </row>
    <row r="18" spans="1:9" x14ac:dyDescent="0.3">
      <c r="A18" s="5">
        <v>16</v>
      </c>
      <c r="B18" s="20" t="s">
        <v>32</v>
      </c>
      <c r="C18" s="21">
        <v>42010</v>
      </c>
      <c r="D18" s="21" t="s">
        <v>44</v>
      </c>
      <c r="E18" s="20"/>
      <c r="F18" s="22"/>
      <c r="G18" s="24"/>
      <c r="H18" s="25"/>
      <c r="I18" s="20"/>
    </row>
    <row r="19" spans="1:9" x14ac:dyDescent="0.3">
      <c r="A19" s="5">
        <v>18</v>
      </c>
      <c r="B19" s="20" t="s">
        <v>35</v>
      </c>
      <c r="C19" s="21">
        <v>42011</v>
      </c>
      <c r="D19" s="21" t="s">
        <v>45</v>
      </c>
      <c r="E19" s="20"/>
      <c r="F19" s="22"/>
      <c r="G19" s="24"/>
      <c r="H19" s="25"/>
      <c r="I19" s="20"/>
    </row>
    <row r="20" spans="1:9" x14ac:dyDescent="0.3">
      <c r="A20" s="5">
        <v>19</v>
      </c>
      <c r="B20" s="20" t="s">
        <v>34</v>
      </c>
      <c r="C20" s="21">
        <v>42010</v>
      </c>
      <c r="D20" s="21" t="s">
        <v>45</v>
      </c>
      <c r="E20" s="20"/>
      <c r="F20" s="22"/>
      <c r="G20" s="24"/>
      <c r="H20" s="25"/>
      <c r="I20" s="20"/>
    </row>
    <row r="21" spans="1:9" x14ac:dyDescent="0.3">
      <c r="A21" s="5">
        <v>20</v>
      </c>
      <c r="B21" s="20" t="s">
        <v>36</v>
      </c>
      <c r="C21" s="21">
        <v>42011</v>
      </c>
      <c r="D21" s="21" t="s">
        <v>45</v>
      </c>
      <c r="E21" s="20"/>
      <c r="F21" s="22"/>
      <c r="G21" s="24"/>
      <c r="H21" s="25"/>
      <c r="I21" s="20"/>
    </row>
    <row r="22" spans="1:9" x14ac:dyDescent="0.3">
      <c r="A22" s="5">
        <v>21</v>
      </c>
      <c r="B22" s="20" t="s">
        <v>23</v>
      </c>
      <c r="C22" s="21">
        <v>42007</v>
      </c>
      <c r="D22" s="21" t="s">
        <v>45</v>
      </c>
      <c r="E22" s="20"/>
      <c r="F22" s="22"/>
      <c r="G22" s="24"/>
      <c r="H22" s="25"/>
      <c r="I22" s="20"/>
    </row>
    <row r="23" spans="1:9" x14ac:dyDescent="0.3">
      <c r="A23" s="5">
        <v>22</v>
      </c>
      <c r="B23" s="20" t="s">
        <v>24</v>
      </c>
      <c r="C23" s="21">
        <v>42007</v>
      </c>
      <c r="D23" s="21" t="s">
        <v>45</v>
      </c>
      <c r="E23" s="20"/>
      <c r="F23" s="22"/>
      <c r="G23" s="24"/>
      <c r="H23" s="25"/>
      <c r="I23" s="20"/>
    </row>
    <row r="24" spans="1:9" x14ac:dyDescent="0.3">
      <c r="A24" s="5">
        <v>23</v>
      </c>
      <c r="B24" s="20" t="s">
        <v>18</v>
      </c>
      <c r="C24" s="21">
        <v>42000</v>
      </c>
      <c r="D24" s="21" t="s">
        <v>45</v>
      </c>
      <c r="E24" s="20"/>
      <c r="F24" s="22"/>
      <c r="G24" s="24"/>
      <c r="H24" s="25"/>
      <c r="I24" s="20"/>
    </row>
    <row r="25" spans="1:9" x14ac:dyDescent="0.3">
      <c r="A25" s="5">
        <v>24</v>
      </c>
      <c r="B25" s="20" t="s">
        <v>31</v>
      </c>
      <c r="C25" s="21">
        <v>42010</v>
      </c>
      <c r="D25" s="21" t="s">
        <v>44</v>
      </c>
      <c r="E25" s="20"/>
      <c r="F25" s="22"/>
      <c r="G25" s="24"/>
      <c r="H25" s="25"/>
      <c r="I25" s="20"/>
    </row>
    <row r="26" spans="1:9" x14ac:dyDescent="0.3">
      <c r="A26" s="5">
        <v>25</v>
      </c>
      <c r="B26" s="20" t="s">
        <v>92</v>
      </c>
      <c r="C26" s="21">
        <v>42000</v>
      </c>
      <c r="D26" s="21" t="s">
        <v>43</v>
      </c>
      <c r="E26" s="20"/>
      <c r="F26" s="22"/>
      <c r="G26" s="24"/>
      <c r="H26" s="25"/>
      <c r="I26" s="20"/>
    </row>
    <row r="27" spans="1:9" x14ac:dyDescent="0.3">
      <c r="A27" s="5">
        <v>26</v>
      </c>
      <c r="B27" s="20" t="s">
        <v>19</v>
      </c>
      <c r="C27" s="21">
        <v>42002</v>
      </c>
      <c r="D27" s="21" t="s">
        <v>45</v>
      </c>
      <c r="E27" s="20"/>
      <c r="F27" s="22"/>
      <c r="G27" s="24"/>
      <c r="H27" s="25"/>
      <c r="I27" s="20"/>
    </row>
    <row r="28" spans="1:9" x14ac:dyDescent="0.3">
      <c r="A28" s="5">
        <v>27</v>
      </c>
      <c r="B28" s="20" t="s">
        <v>37</v>
      </c>
      <c r="C28" s="21">
        <v>42011</v>
      </c>
      <c r="D28" s="21" t="s">
        <v>43</v>
      </c>
      <c r="E28" s="20"/>
      <c r="F28" s="22"/>
      <c r="G28" s="24"/>
      <c r="H28" s="25"/>
      <c r="I28" s="20"/>
    </row>
    <row r="29" spans="1:9" x14ac:dyDescent="0.3">
      <c r="A29" s="5">
        <v>28</v>
      </c>
      <c r="B29" s="20" t="s">
        <v>16</v>
      </c>
      <c r="C29" s="21">
        <v>41999</v>
      </c>
      <c r="D29" s="21" t="s">
        <v>44</v>
      </c>
      <c r="E29" s="20"/>
      <c r="F29" s="22"/>
      <c r="G29" s="24"/>
      <c r="H29" s="25"/>
      <c r="I29" s="20"/>
    </row>
    <row r="30" spans="1:9" x14ac:dyDescent="0.3">
      <c r="A30" s="5">
        <v>29</v>
      </c>
      <c r="B30" s="20" t="s">
        <v>41</v>
      </c>
      <c r="C30" s="21">
        <v>42011</v>
      </c>
      <c r="D30" s="21" t="s">
        <v>43</v>
      </c>
      <c r="E30" s="20"/>
      <c r="F30" s="22"/>
      <c r="G30" s="24"/>
      <c r="H30" s="25"/>
      <c r="I30" s="20"/>
    </row>
    <row r="31" spans="1:9" x14ac:dyDescent="0.3">
      <c r="A31" s="5">
        <v>30</v>
      </c>
      <c r="B31" s="20" t="s">
        <v>27</v>
      </c>
      <c r="C31" s="21">
        <v>42008</v>
      </c>
      <c r="D31" s="21" t="s">
        <v>48</v>
      </c>
      <c r="E31" s="20"/>
      <c r="F31" s="22"/>
      <c r="G31" s="24"/>
      <c r="H31" s="25"/>
      <c r="I31" s="20"/>
    </row>
    <row r="32" spans="1:9" x14ac:dyDescent="0.3">
      <c r="A32" s="27">
        <v>31</v>
      </c>
      <c r="B32" s="28" t="s">
        <v>85</v>
      </c>
      <c r="C32" s="29">
        <v>42008</v>
      </c>
      <c r="D32" s="21" t="s">
        <v>48</v>
      </c>
      <c r="E32" s="28"/>
      <c r="F32" s="30"/>
      <c r="G32" s="31"/>
      <c r="H32" s="32"/>
      <c r="I32" s="28"/>
    </row>
    <row r="33" spans="1:9" x14ac:dyDescent="0.3">
      <c r="A33" s="27">
        <v>32</v>
      </c>
      <c r="B33" s="28" t="s">
        <v>93</v>
      </c>
      <c r="C33" s="29">
        <v>42023</v>
      </c>
      <c r="D33" s="29" t="s">
        <v>45</v>
      </c>
      <c r="E33" s="28"/>
      <c r="F33" s="30"/>
      <c r="G33" s="31"/>
      <c r="H33" s="32"/>
      <c r="I33" s="28"/>
    </row>
    <row r="34" spans="1:9" x14ac:dyDescent="0.3">
      <c r="A34" s="27">
        <v>33</v>
      </c>
      <c r="B34" s="28" t="s">
        <v>94</v>
      </c>
      <c r="C34" s="29">
        <v>42023</v>
      </c>
      <c r="D34" s="29" t="s">
        <v>45</v>
      </c>
      <c r="E34" s="28"/>
      <c r="F34" s="30"/>
      <c r="G34" s="31"/>
      <c r="H34" s="32"/>
      <c r="I34" s="28"/>
    </row>
    <row r="35" spans="1:9" x14ac:dyDescent="0.3">
      <c r="A35" s="27">
        <v>34</v>
      </c>
      <c r="B35" s="28" t="s">
        <v>95</v>
      </c>
      <c r="C35" s="29">
        <v>42023</v>
      </c>
      <c r="D35" s="29" t="s">
        <v>45</v>
      </c>
      <c r="E35" s="28"/>
      <c r="F35" s="30"/>
      <c r="G35" s="31"/>
      <c r="H35" s="32"/>
      <c r="I35" s="28"/>
    </row>
    <row r="36" spans="1:9" x14ac:dyDescent="0.3">
      <c r="A36" s="33">
        <v>35</v>
      </c>
      <c r="B36" s="34" t="s">
        <v>108</v>
      </c>
      <c r="C36" s="29">
        <v>42030</v>
      </c>
      <c r="D36" s="21" t="s">
        <v>44</v>
      </c>
      <c r="E36" s="34"/>
      <c r="F36" s="35"/>
      <c r="G36" s="36"/>
      <c r="H36" s="37"/>
      <c r="I36" s="34"/>
    </row>
    <row r="37" spans="1:9" x14ac:dyDescent="0.3">
      <c r="A37" s="38">
        <v>36</v>
      </c>
      <c r="B37" s="20" t="s">
        <v>172</v>
      </c>
      <c r="C37" s="21">
        <v>42033</v>
      </c>
      <c r="D37" s="21" t="s">
        <v>43</v>
      </c>
      <c r="E37" s="20"/>
      <c r="F37" s="22"/>
      <c r="G37" s="24"/>
      <c r="H37" s="25"/>
      <c r="I37" s="20"/>
    </row>
    <row r="38" spans="1:9" x14ac:dyDescent="0.3">
      <c r="A38" s="38">
        <v>37</v>
      </c>
      <c r="B38" s="20" t="s">
        <v>109</v>
      </c>
      <c r="C38" s="21">
        <v>42033</v>
      </c>
      <c r="D38" s="21" t="s">
        <v>43</v>
      </c>
      <c r="E38" s="20"/>
      <c r="F38" s="22"/>
      <c r="G38" s="24"/>
      <c r="H38" s="25"/>
      <c r="I38" s="20"/>
    </row>
    <row r="39" spans="1:9" x14ac:dyDescent="0.3">
      <c r="A39" s="38">
        <v>38</v>
      </c>
      <c r="B39" s="20" t="s">
        <v>112</v>
      </c>
      <c r="C39" s="21">
        <v>42036</v>
      </c>
      <c r="D39" s="21" t="s">
        <v>44</v>
      </c>
      <c r="E39" s="20"/>
      <c r="F39" s="22"/>
      <c r="G39" s="24"/>
      <c r="H39" s="25"/>
      <c r="I39" s="20"/>
    </row>
    <row r="40" spans="1:9" x14ac:dyDescent="0.3">
      <c r="A40" s="39">
        <v>39</v>
      </c>
      <c r="B40" s="40" t="s">
        <v>123</v>
      </c>
      <c r="C40" s="41">
        <v>42036</v>
      </c>
      <c r="D40" s="21" t="s">
        <v>44</v>
      </c>
      <c r="E40" s="40"/>
      <c r="F40" s="42"/>
      <c r="G40" s="43"/>
      <c r="H40" s="44"/>
      <c r="I40" s="40"/>
    </row>
    <row r="41" spans="1:9" x14ac:dyDescent="0.3">
      <c r="A41" s="39">
        <v>40</v>
      </c>
      <c r="B41" s="40" t="s">
        <v>128</v>
      </c>
      <c r="C41" s="41">
        <v>42036</v>
      </c>
      <c r="D41" s="21" t="s">
        <v>44</v>
      </c>
      <c r="E41" s="40"/>
      <c r="F41" s="42"/>
      <c r="G41" s="43"/>
      <c r="H41" s="44"/>
      <c r="I41" s="40"/>
    </row>
    <row r="42" spans="1:9" x14ac:dyDescent="0.3">
      <c r="A42" s="50">
        <v>42</v>
      </c>
      <c r="B42" s="51" t="s">
        <v>138</v>
      </c>
      <c r="C42" s="52">
        <v>42044</v>
      </c>
      <c r="D42" s="52" t="s">
        <v>45</v>
      </c>
      <c r="E42" s="51"/>
      <c r="F42" s="53"/>
      <c r="G42" s="54"/>
      <c r="H42" s="55"/>
      <c r="I42" s="51"/>
    </row>
    <row r="43" spans="1:9" x14ac:dyDescent="0.3">
      <c r="A43" s="50">
        <v>43</v>
      </c>
      <c r="B43" s="51" t="s">
        <v>139</v>
      </c>
      <c r="C43" s="52">
        <v>42044</v>
      </c>
      <c r="D43" s="52" t="s">
        <v>44</v>
      </c>
      <c r="E43" s="51"/>
      <c r="F43" s="53"/>
      <c r="G43" s="54"/>
      <c r="H43" s="55"/>
      <c r="I43" s="51"/>
    </row>
    <row r="44" spans="1:9" x14ac:dyDescent="0.3">
      <c r="A44" s="50">
        <v>45</v>
      </c>
      <c r="B44" s="51" t="s">
        <v>140</v>
      </c>
      <c r="C44" s="52">
        <v>42044</v>
      </c>
      <c r="D44" s="52" t="s">
        <v>43</v>
      </c>
      <c r="E44" s="51"/>
      <c r="F44" s="53"/>
      <c r="G44" s="54"/>
      <c r="H44" s="55"/>
      <c r="I44" s="51"/>
    </row>
    <row r="45" spans="1:9" x14ac:dyDescent="0.3">
      <c r="A45" s="50">
        <v>46</v>
      </c>
      <c r="B45" s="51" t="s">
        <v>141</v>
      </c>
      <c r="C45" s="52">
        <v>42050</v>
      </c>
      <c r="D45" s="52" t="s">
        <v>43</v>
      </c>
      <c r="E45" s="51"/>
      <c r="F45" s="53"/>
      <c r="G45" s="54"/>
      <c r="H45" s="55"/>
      <c r="I45" s="51"/>
    </row>
    <row r="46" spans="1:9" x14ac:dyDescent="0.3">
      <c r="A46" s="50">
        <v>47</v>
      </c>
      <c r="B46" s="51" t="s">
        <v>142</v>
      </c>
      <c r="C46" s="52">
        <v>42005</v>
      </c>
      <c r="D46" s="52" t="s">
        <v>43</v>
      </c>
      <c r="E46" s="51"/>
      <c r="F46" s="53"/>
      <c r="G46" s="54"/>
      <c r="H46" s="55"/>
      <c r="I46" s="51"/>
    </row>
    <row r="47" spans="1:9" x14ac:dyDescent="0.3">
      <c r="A47" s="38">
        <v>48</v>
      </c>
      <c r="B47" s="20" t="s">
        <v>176</v>
      </c>
      <c r="C47" s="57">
        <v>42067</v>
      </c>
      <c r="D47" s="57" t="s">
        <v>44</v>
      </c>
      <c r="E47" s="20"/>
      <c r="F47" s="22"/>
      <c r="G47" s="24"/>
      <c r="H47" s="25"/>
      <c r="I47" s="20"/>
    </row>
    <row r="48" spans="1:9" x14ac:dyDescent="0.3">
      <c r="A48" s="38">
        <v>49</v>
      </c>
      <c r="B48" s="20" t="s">
        <v>180</v>
      </c>
      <c r="C48" s="57">
        <v>42067</v>
      </c>
      <c r="D48" s="57" t="s">
        <v>43</v>
      </c>
      <c r="E48" s="20"/>
      <c r="F48" s="22"/>
      <c r="G48" s="24"/>
      <c r="H48" s="25"/>
      <c r="I48" s="20"/>
    </row>
    <row r="49" spans="1:9" x14ac:dyDescent="0.3">
      <c r="A49" s="38">
        <v>50</v>
      </c>
      <c r="B49" s="20" t="s">
        <v>183</v>
      </c>
      <c r="C49" s="57">
        <v>42071</v>
      </c>
      <c r="D49" s="57" t="s">
        <v>44</v>
      </c>
      <c r="E49" s="20"/>
      <c r="F49" s="22"/>
      <c r="G49" s="24"/>
      <c r="H49" s="25"/>
      <c r="I49" s="20"/>
    </row>
    <row r="50" spans="1:9" x14ac:dyDescent="0.3">
      <c r="A50" s="38">
        <v>51</v>
      </c>
      <c r="B50" s="20" t="s">
        <v>186</v>
      </c>
      <c r="C50" s="57">
        <v>42072</v>
      </c>
      <c r="D50" s="57" t="s">
        <v>44</v>
      </c>
      <c r="E50" s="20"/>
      <c r="F50" s="22"/>
      <c r="G50" s="24"/>
      <c r="H50" s="25"/>
      <c r="I50" s="20"/>
    </row>
    <row r="51" spans="1:9" x14ac:dyDescent="0.3">
      <c r="A51" s="38">
        <v>52</v>
      </c>
      <c r="B51" s="20" t="s">
        <v>190</v>
      </c>
      <c r="C51" s="57">
        <v>42072</v>
      </c>
      <c r="D51" s="57" t="s">
        <v>44</v>
      </c>
      <c r="E51" s="20"/>
      <c r="F51" s="22"/>
      <c r="G51" s="24"/>
      <c r="H51" s="25"/>
      <c r="I51" s="20"/>
    </row>
    <row r="52" spans="1:9" x14ac:dyDescent="0.3">
      <c r="A52" s="38">
        <v>53</v>
      </c>
      <c r="B52" s="20" t="s">
        <v>193</v>
      </c>
      <c r="C52" s="57">
        <v>42072</v>
      </c>
      <c r="D52" s="57" t="s">
        <v>44</v>
      </c>
      <c r="E52" s="20"/>
      <c r="F52" s="22"/>
      <c r="G52" s="24"/>
      <c r="H52" s="25"/>
      <c r="I52" s="20"/>
    </row>
    <row r="53" spans="1:9" x14ac:dyDescent="0.3">
      <c r="A53" s="38">
        <v>54</v>
      </c>
      <c r="B53" s="20" t="s">
        <v>214</v>
      </c>
      <c r="C53" s="57">
        <v>42078</v>
      </c>
      <c r="D53" s="57" t="s">
        <v>44</v>
      </c>
      <c r="E53" s="20"/>
      <c r="F53" s="22"/>
      <c r="G53" s="24"/>
      <c r="H53" s="25"/>
      <c r="I53" s="20"/>
    </row>
    <row r="54" spans="1:9" x14ac:dyDescent="0.3">
      <c r="A54" s="38">
        <v>55</v>
      </c>
      <c r="B54" s="20" t="s">
        <v>223</v>
      </c>
      <c r="C54" s="57"/>
      <c r="D54" s="57"/>
      <c r="E54" s="20"/>
      <c r="F54" s="22"/>
      <c r="G54" s="24"/>
      <c r="H54" s="25"/>
      <c r="I54" s="20"/>
    </row>
    <row r="55" spans="1:9" x14ac:dyDescent="0.3">
      <c r="A55" s="38">
        <v>56</v>
      </c>
      <c r="B55" s="20" t="s">
        <v>224</v>
      </c>
      <c r="C55" s="57"/>
      <c r="D55" s="57"/>
      <c r="E55" s="20"/>
      <c r="F55" s="22"/>
      <c r="G55" s="24"/>
      <c r="H55" s="25"/>
      <c r="I55" s="20"/>
    </row>
    <row r="56" spans="1:9" x14ac:dyDescent="0.3">
      <c r="A56" s="38">
        <v>57</v>
      </c>
      <c r="B56" s="20" t="s">
        <v>225</v>
      </c>
      <c r="C56" s="57"/>
      <c r="D56" s="57"/>
      <c r="E56" s="20"/>
      <c r="F56" s="22"/>
      <c r="G56" s="24"/>
      <c r="H56" s="25"/>
      <c r="I56" s="20"/>
    </row>
    <row r="57" spans="1:9" x14ac:dyDescent="0.3">
      <c r="A57" s="38">
        <v>58</v>
      </c>
      <c r="B57" s="20" t="s">
        <v>226</v>
      </c>
      <c r="C57" s="57"/>
      <c r="D57" s="57"/>
      <c r="E57" s="20"/>
      <c r="F57" s="22"/>
      <c r="G57" s="24"/>
      <c r="H57" s="25"/>
      <c r="I57" s="20"/>
    </row>
    <row r="58" spans="1:9" x14ac:dyDescent="0.3">
      <c r="A58" s="38">
        <v>59</v>
      </c>
      <c r="B58" s="20" t="s">
        <v>227</v>
      </c>
      <c r="C58" s="57"/>
      <c r="D58" s="57"/>
      <c r="E58" s="20"/>
      <c r="F58" s="22"/>
      <c r="G58" s="24"/>
      <c r="H58" s="25"/>
      <c r="I58" s="20"/>
    </row>
    <row r="59" spans="1:9" x14ac:dyDescent="0.3">
      <c r="A59" s="38"/>
      <c r="B59" s="20" t="s">
        <v>228</v>
      </c>
      <c r="C59" s="57">
        <v>42095</v>
      </c>
      <c r="D59" s="57" t="s">
        <v>44</v>
      </c>
      <c r="E59" s="20"/>
      <c r="F59" s="22"/>
      <c r="G59" s="24"/>
      <c r="H59" s="25"/>
      <c r="I59" s="20"/>
    </row>
    <row r="60" spans="1:9" x14ac:dyDescent="0.3">
      <c r="A60" s="38"/>
      <c r="B60" s="20" t="s">
        <v>229</v>
      </c>
      <c r="C60" s="57"/>
      <c r="D60" s="57"/>
      <c r="E60" s="20"/>
      <c r="F60" s="22"/>
      <c r="G60" s="24"/>
      <c r="H60" s="25"/>
      <c r="I60" s="20"/>
    </row>
    <row r="61" spans="1:9" x14ac:dyDescent="0.3">
      <c r="A61" s="38"/>
      <c r="B61" s="20" t="s">
        <v>230</v>
      </c>
      <c r="C61" s="57"/>
      <c r="D61" s="57"/>
      <c r="E61" s="20"/>
      <c r="F61" s="22"/>
      <c r="G61" s="24"/>
      <c r="H61" s="25"/>
      <c r="I61" s="20"/>
    </row>
    <row r="62" spans="1:9" x14ac:dyDescent="0.3">
      <c r="A62" s="38"/>
      <c r="B62" s="20" t="s">
        <v>231</v>
      </c>
      <c r="C62" s="57"/>
      <c r="D62" s="57"/>
      <c r="E62" s="20"/>
      <c r="F62" s="22"/>
      <c r="G62" s="24"/>
      <c r="H62" s="25"/>
      <c r="I62" s="20"/>
    </row>
    <row r="63" spans="1:9" x14ac:dyDescent="0.3">
      <c r="A63" s="38"/>
      <c r="B63" s="20" t="s">
        <v>235</v>
      </c>
      <c r="C63" s="57"/>
      <c r="D63" s="57"/>
      <c r="E63" s="20"/>
      <c r="F63" s="22"/>
      <c r="G63" s="24"/>
      <c r="H63" s="25"/>
      <c r="I63" s="20"/>
    </row>
    <row r="64" spans="1:9" x14ac:dyDescent="0.3">
      <c r="A64" s="38"/>
      <c r="B64" s="20" t="s">
        <v>236</v>
      </c>
      <c r="C64" s="57"/>
      <c r="D64" s="57"/>
      <c r="E64" s="20"/>
      <c r="F64" s="22"/>
      <c r="G64" s="24"/>
      <c r="H64" s="25"/>
      <c r="I64" s="20"/>
    </row>
    <row r="65" spans="1:9" x14ac:dyDescent="0.3">
      <c r="A65" s="38"/>
      <c r="B65" s="20" t="s">
        <v>237</v>
      </c>
      <c r="C65" s="57"/>
      <c r="D65" s="57"/>
      <c r="E65" s="20"/>
      <c r="F65" s="22"/>
      <c r="G65" s="24"/>
      <c r="H65" s="25"/>
      <c r="I65" s="20"/>
    </row>
    <row r="66" spans="1:9" x14ac:dyDescent="0.3">
      <c r="A66" s="38"/>
      <c r="B66" s="20" t="s">
        <v>238</v>
      </c>
      <c r="C66" s="57"/>
      <c r="D66" s="57"/>
      <c r="E66" s="20"/>
      <c r="F66" s="22"/>
      <c r="G66" s="24"/>
      <c r="H66" s="25"/>
      <c r="I66" s="20"/>
    </row>
    <row r="67" spans="1:9" x14ac:dyDescent="0.3">
      <c r="A67" s="38"/>
      <c r="B67" s="20" t="s">
        <v>240</v>
      </c>
      <c r="C67" s="57">
        <v>42099</v>
      </c>
      <c r="D67" s="57" t="s">
        <v>45</v>
      </c>
      <c r="E67" s="20"/>
      <c r="F67" s="22"/>
      <c r="G67" s="24"/>
      <c r="H67" s="25"/>
      <c r="I67" s="20"/>
    </row>
  </sheetData>
  <sortState xmlns:xlrd2="http://schemas.microsoft.com/office/spreadsheetml/2017/richdata2" ref="B9:C43">
    <sortCondition ref="B9"/>
  </sortState>
  <conditionalFormatting sqref="B3:B67">
    <cfRule type="duplicateValues" dxfId="53" priority="65"/>
    <cfRule type="expression" dxfId="52" priority="66">
      <formula>OR(NOT(ISNA(INDEX(Initiative,MATCH(B3,Initiative,0)))))=FALSE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L114"/>
  <sheetViews>
    <sheetView topLeftCell="A87" workbookViewId="0">
      <selection activeCell="G98" sqref="G98"/>
    </sheetView>
  </sheetViews>
  <sheetFormatPr defaultRowHeight="14.4" x14ac:dyDescent="0.3"/>
  <cols>
    <col min="1" max="1" width="25.5546875" bestFit="1" customWidth="1"/>
    <col min="2" max="4" width="18.44140625" customWidth="1"/>
    <col min="5" max="5" width="41.88671875" bestFit="1" customWidth="1"/>
    <col min="6" max="6" width="15.6640625" customWidth="1"/>
    <col min="7" max="7" width="9.6640625" bestFit="1" customWidth="1"/>
    <col min="8" max="8" width="31" customWidth="1"/>
    <col min="9" max="9" width="20.5546875" bestFit="1" customWidth="1"/>
    <col min="10" max="10" width="20.5546875" customWidth="1"/>
    <col min="11" max="11" width="22.33203125" customWidth="1"/>
    <col min="12" max="12" width="19.44140625" bestFit="1" customWidth="1"/>
  </cols>
  <sheetData>
    <row r="1" spans="1:12" x14ac:dyDescent="0.3">
      <c r="A1" t="s">
        <v>0</v>
      </c>
      <c r="B1" t="s">
        <v>4</v>
      </c>
      <c r="C1" t="s">
        <v>6</v>
      </c>
      <c r="D1" t="s">
        <v>7</v>
      </c>
      <c r="E1" t="s">
        <v>8</v>
      </c>
      <c r="F1" t="s">
        <v>1</v>
      </c>
      <c r="G1" t="s">
        <v>2</v>
      </c>
      <c r="H1" t="s">
        <v>3</v>
      </c>
      <c r="I1" t="s">
        <v>9</v>
      </c>
      <c r="J1" t="s">
        <v>71</v>
      </c>
      <c r="K1" t="s">
        <v>5</v>
      </c>
      <c r="L1" t="s">
        <v>10</v>
      </c>
    </row>
    <row r="2" spans="1:12" x14ac:dyDescent="0.3">
      <c r="A2" s="7" t="s">
        <v>20</v>
      </c>
      <c r="B2" s="7" t="str">
        <f>ZeroToBlank(INDEX(Table2[Division],MATCH(Table1[[#This Row],[Initiative]],Table2[Initiative],0)))</f>
        <v>Nilga</v>
      </c>
      <c r="C2" s="7" t="str">
        <f>ZeroToBlank(INDEX(Table2[Site],MATCH(Table1[[#This Row],[Initiative]],Table2[Initiative],0)))</f>
        <v/>
      </c>
      <c r="D2" s="7" t="str">
        <f>ZeroToBlank(INDEX(Table2[Contact Details],MATCH(Table1[[#This Row],[Initiative]],Table2[Initiative],0)))</f>
        <v/>
      </c>
      <c r="E2" s="7" t="str">
        <f>ZeroToBlank(INDEX(Table2[Email ID],MATCH(Table1[[#This Row],[Initiative]],Table2[Initiative],0)))</f>
        <v/>
      </c>
      <c r="F2" s="7" t="s">
        <v>50</v>
      </c>
      <c r="G2" s="8">
        <v>42006</v>
      </c>
      <c r="H2" s="7" t="s">
        <v>52</v>
      </c>
      <c r="I2" s="7"/>
      <c r="K2" s="7"/>
      <c r="L2" s="7"/>
    </row>
    <row r="3" spans="1:12" x14ac:dyDescent="0.3">
      <c r="A3" s="16" t="s">
        <v>25</v>
      </c>
      <c r="B3" s="16" t="str">
        <f>ZeroToBlank(INDEX(Table2[Division],MATCH(Table1[[#This Row],[Initiative]],Table2[Initiative],0)))</f>
        <v>Infra</v>
      </c>
      <c r="C3" s="17" t="str">
        <f>ZeroToBlank(INDEX(Table2[Site],MATCH(Table1[[#This Row],[Initiative]],Table2[Initiative],0)))</f>
        <v/>
      </c>
      <c r="D3" s="18" t="str">
        <f>ZeroToBlank(INDEX(Table2[Contact Details],MATCH(Table1[[#This Row],[Initiative]],Table2[Initiative],0)))</f>
        <v/>
      </c>
      <c r="E3" s="17" t="str">
        <f>ZeroToBlank(INDEX(Table2[Email ID],MATCH(Table1[[#This Row],[Initiative]],Table2[Initiative],0)))</f>
        <v/>
      </c>
      <c r="F3" s="16" t="s">
        <v>51</v>
      </c>
      <c r="G3" s="19">
        <v>42008</v>
      </c>
      <c r="H3" s="16" t="s">
        <v>53</v>
      </c>
      <c r="I3" s="16"/>
      <c r="J3" s="23" t="s">
        <v>165</v>
      </c>
      <c r="K3" s="16" t="s">
        <v>14</v>
      </c>
      <c r="L3" s="16"/>
    </row>
    <row r="4" spans="1:12" x14ac:dyDescent="0.3">
      <c r="A4" s="16" t="s">
        <v>29</v>
      </c>
      <c r="B4" s="16" t="str">
        <f>ZeroToBlank(INDEX(Table2[Division],MATCH(Table1[[#This Row],[Initiative]],Table2[Initiative],0)))</f>
        <v>All</v>
      </c>
      <c r="C4" s="17" t="str">
        <f>ZeroToBlank(INDEX(Table2[Site],MATCH(Table1[[#This Row],[Initiative]],Table2[Initiative],0)))</f>
        <v/>
      </c>
      <c r="D4" s="18" t="str">
        <f>ZeroToBlank(INDEX(Table2[Contact Details],MATCH(Table1[[#This Row],[Initiative]],Table2[Initiative],0)))</f>
        <v/>
      </c>
      <c r="E4" s="17" t="str">
        <f>ZeroToBlank(INDEX(Table2[Email ID],MATCH(Table1[[#This Row],[Initiative]],Table2[Initiative],0)))</f>
        <v/>
      </c>
      <c r="F4" s="16" t="s">
        <v>50</v>
      </c>
      <c r="G4" s="19">
        <v>42008</v>
      </c>
      <c r="H4" s="16" t="s">
        <v>54</v>
      </c>
      <c r="I4" s="16"/>
      <c r="K4" s="16" t="s">
        <v>68</v>
      </c>
      <c r="L4" s="16"/>
    </row>
    <row r="5" spans="1:12" x14ac:dyDescent="0.3">
      <c r="A5" s="7" t="s">
        <v>30</v>
      </c>
      <c r="B5" s="7" t="str">
        <f>ZeroToBlank(INDEX(Table2[Division],MATCH(Table1[[#This Row],[Initiative]],Table2[Initiative],0)))</f>
        <v>Infra</v>
      </c>
      <c r="C5" s="10" t="str">
        <f>ZeroToBlank(INDEX(Table2[Site],MATCH(Table1[[#This Row],[Initiative]],Table2[Initiative],0)))</f>
        <v/>
      </c>
      <c r="D5" s="9" t="str">
        <f>ZeroToBlank(INDEX(Table2[Contact Details],MATCH(Table1[[#This Row],[Initiative]],Table2[Initiative],0)))</f>
        <v/>
      </c>
      <c r="E5" s="10" t="str">
        <f>ZeroToBlank(INDEX(Table2[Email ID],MATCH(Table1[[#This Row],[Initiative]],Table2[Initiative],0)))</f>
        <v/>
      </c>
      <c r="F5" s="7" t="s">
        <v>50</v>
      </c>
      <c r="G5" s="8">
        <v>42010</v>
      </c>
      <c r="H5" s="7" t="s">
        <v>55</v>
      </c>
      <c r="I5" s="7"/>
      <c r="K5" s="7" t="s">
        <v>14</v>
      </c>
      <c r="L5" s="7"/>
    </row>
    <row r="6" spans="1:12" x14ac:dyDescent="0.3">
      <c r="A6" s="7" t="s">
        <v>31</v>
      </c>
      <c r="B6" s="7" t="str">
        <f>ZeroToBlank(INDEX(Table2[Division],MATCH(Table1[[#This Row],[Initiative]],Table2[Initiative],0)))</f>
        <v>Infra</v>
      </c>
      <c r="C6" s="10" t="str">
        <f>ZeroToBlank(INDEX(Table2[Site],MATCH(Table1[[#This Row],[Initiative]],Table2[Initiative],0)))</f>
        <v/>
      </c>
      <c r="D6" s="9" t="str">
        <f>ZeroToBlank(INDEX(Table2[Contact Details],MATCH(Table1[[#This Row],[Initiative]],Table2[Initiative],0)))</f>
        <v/>
      </c>
      <c r="E6" s="10" t="str">
        <f>ZeroToBlank(INDEX(Table2[Email ID],MATCH(Table1[[#This Row],[Initiative]],Table2[Initiative],0)))</f>
        <v/>
      </c>
      <c r="F6" s="7" t="s">
        <v>51</v>
      </c>
      <c r="G6" s="8">
        <v>42010</v>
      </c>
      <c r="H6" s="7" t="s">
        <v>56</v>
      </c>
      <c r="I6" s="7"/>
      <c r="K6" s="7" t="s">
        <v>68</v>
      </c>
      <c r="L6" s="7"/>
    </row>
    <row r="7" spans="1:12" x14ac:dyDescent="0.3">
      <c r="A7" s="16" t="s">
        <v>17</v>
      </c>
      <c r="B7" s="16" t="str">
        <f>ZeroToBlank(INDEX(Table2[Division],MATCH(Table1[[#This Row],[Initiative]],Table2[Initiative],0)))</f>
        <v>Drummella</v>
      </c>
      <c r="C7" s="17" t="str">
        <f>ZeroToBlank(INDEX(Table2[Site],MATCH(Table1[[#This Row],[Initiative]],Table2[Initiative],0)))</f>
        <v/>
      </c>
      <c r="D7" s="18" t="str">
        <f>ZeroToBlank(INDEX(Table2[Contact Details],MATCH(Table1[[#This Row],[Initiative]],Table2[Initiative],0)))</f>
        <v/>
      </c>
      <c r="E7" s="17" t="str">
        <f>ZeroToBlank(INDEX(Table2[Email ID],MATCH(Table1[[#This Row],[Initiative]],Table2[Initiative],0)))</f>
        <v/>
      </c>
      <c r="F7" s="16" t="s">
        <v>50</v>
      </c>
      <c r="G7" s="19">
        <v>42010</v>
      </c>
      <c r="H7" s="16" t="s">
        <v>57</v>
      </c>
      <c r="I7" s="16"/>
      <c r="K7" s="16"/>
      <c r="L7" s="16"/>
    </row>
    <row r="8" spans="1:12" x14ac:dyDescent="0.3">
      <c r="A8" s="16" t="s">
        <v>33</v>
      </c>
      <c r="B8" s="16" t="str">
        <f>ZeroToBlank(INDEX(Table2[Division],MATCH(Table1[[#This Row],[Initiative]],Table2[Initiative],0)))</f>
        <v>Nilga</v>
      </c>
      <c r="C8" s="17" t="str">
        <f>ZeroToBlank(INDEX(Table2[Site],MATCH(Table1[[#This Row],[Initiative]],Table2[Initiative],0)))</f>
        <v/>
      </c>
      <c r="D8" s="18" t="str">
        <f>ZeroToBlank(INDEX(Table2[Contact Details],MATCH(Table1[[#This Row],[Initiative]],Table2[Initiative],0)))</f>
        <v/>
      </c>
      <c r="E8" s="17" t="str">
        <f>ZeroToBlank(INDEX(Table2[Email ID],MATCH(Table1[[#This Row],[Initiative]],Table2[Initiative],0)))</f>
        <v/>
      </c>
      <c r="F8" s="16" t="s">
        <v>51</v>
      </c>
      <c r="G8" s="19">
        <v>42010</v>
      </c>
      <c r="H8" s="16" t="s">
        <v>58</v>
      </c>
      <c r="I8" s="16"/>
      <c r="K8" s="16"/>
      <c r="L8" s="16"/>
    </row>
    <row r="9" spans="1:12" x14ac:dyDescent="0.3">
      <c r="A9" s="16" t="s">
        <v>20</v>
      </c>
      <c r="B9" s="16" t="str">
        <f>ZeroToBlank(INDEX(Table2[Division],MATCH(Table1[[#This Row],[Initiative]],Table2[Initiative],0)))</f>
        <v>Nilga</v>
      </c>
      <c r="C9" s="17" t="str">
        <f>ZeroToBlank(INDEX(Table2[Site],MATCH(Table1[[#This Row],[Initiative]],Table2[Initiative],0)))</f>
        <v/>
      </c>
      <c r="D9" s="18" t="str">
        <f>ZeroToBlank(INDEX(Table2[Contact Details],MATCH(Table1[[#This Row],[Initiative]],Table2[Initiative],0)))</f>
        <v/>
      </c>
      <c r="E9" s="17" t="str">
        <f>ZeroToBlank(INDEX(Table2[Email ID],MATCH(Table1[[#This Row],[Initiative]],Table2[Initiative],0)))</f>
        <v/>
      </c>
      <c r="F9" s="16" t="s">
        <v>51</v>
      </c>
      <c r="G9" s="19">
        <v>42010</v>
      </c>
      <c r="H9" s="16" t="s">
        <v>59</v>
      </c>
      <c r="I9" s="16"/>
      <c r="K9" s="16"/>
      <c r="L9" s="16"/>
    </row>
    <row r="10" spans="1:12" x14ac:dyDescent="0.3">
      <c r="A10" s="7" t="s">
        <v>32</v>
      </c>
      <c r="B10" s="7" t="str">
        <f>ZeroToBlank(INDEX(Table2[Division],MATCH(Table1[[#This Row],[Initiative]],Table2[Initiative],0)))</f>
        <v>Infra</v>
      </c>
      <c r="C10" s="10" t="str">
        <f>ZeroToBlank(INDEX(Table2[Site],MATCH(Table1[[#This Row],[Initiative]],Table2[Initiative],0)))</f>
        <v/>
      </c>
      <c r="D10" s="9" t="str">
        <f>ZeroToBlank(INDEX(Table2[Contact Details],MATCH(Table1[[#This Row],[Initiative]],Table2[Initiative],0)))</f>
        <v/>
      </c>
      <c r="E10" s="10" t="str">
        <f>ZeroToBlank(INDEX(Table2[Email ID],MATCH(Table1[[#This Row],[Initiative]],Table2[Initiative],0)))</f>
        <v/>
      </c>
      <c r="F10" s="7" t="s">
        <v>50</v>
      </c>
      <c r="G10" s="8">
        <v>42011</v>
      </c>
      <c r="H10" s="7" t="s">
        <v>60</v>
      </c>
      <c r="I10" s="7"/>
      <c r="K10" s="7" t="s">
        <v>14</v>
      </c>
      <c r="L10" s="7"/>
    </row>
    <row r="11" spans="1:12" x14ac:dyDescent="0.3">
      <c r="A11" s="7" t="s">
        <v>36</v>
      </c>
      <c r="B11" s="7" t="str">
        <f>ZeroToBlank(INDEX(Table2[Division],MATCH(Table1[[#This Row],[Initiative]],Table2[Initiative],0)))</f>
        <v>Nilga</v>
      </c>
      <c r="C11" s="10" t="str">
        <f>ZeroToBlank(INDEX(Table2[Site],MATCH(Table1[[#This Row],[Initiative]],Table2[Initiative],0)))</f>
        <v/>
      </c>
      <c r="D11" s="9" t="str">
        <f>ZeroToBlank(INDEX(Table2[Contact Details],MATCH(Table1[[#This Row],[Initiative]],Table2[Initiative],0)))</f>
        <v/>
      </c>
      <c r="E11" s="10" t="str">
        <f>ZeroToBlank(INDEX(Table2[Email ID],MATCH(Table1[[#This Row],[Initiative]],Table2[Initiative],0)))</f>
        <v/>
      </c>
      <c r="F11" s="7" t="s">
        <v>51</v>
      </c>
      <c r="G11" s="8">
        <v>42011</v>
      </c>
      <c r="H11" s="7" t="s">
        <v>61</v>
      </c>
      <c r="I11" s="7"/>
      <c r="J11" s="23" t="s">
        <v>72</v>
      </c>
      <c r="K11" s="7" t="s">
        <v>69</v>
      </c>
      <c r="L11" s="7"/>
    </row>
    <row r="12" spans="1:12" x14ac:dyDescent="0.3">
      <c r="A12" s="7" t="s">
        <v>37</v>
      </c>
      <c r="B12" s="7" t="str">
        <f>ZeroToBlank(INDEX(Table2[Division],MATCH(Table1[[#This Row],[Initiative]],Table2[Initiative],0)))</f>
        <v>All</v>
      </c>
      <c r="C12" s="10" t="str">
        <f>ZeroToBlank(INDEX(Table2[Site],MATCH(Table1[[#This Row],[Initiative]],Table2[Initiative],0)))</f>
        <v/>
      </c>
      <c r="D12" s="9" t="str">
        <f>ZeroToBlank(INDEX(Table2[Contact Details],MATCH(Table1[[#This Row],[Initiative]],Table2[Initiative],0)))</f>
        <v/>
      </c>
      <c r="E12" s="10" t="str">
        <f>ZeroToBlank(INDEX(Table2[Email ID],MATCH(Table1[[#This Row],[Initiative]],Table2[Initiative],0)))</f>
        <v/>
      </c>
      <c r="F12" s="7" t="s">
        <v>51</v>
      </c>
      <c r="G12" s="8">
        <v>42011</v>
      </c>
      <c r="H12" s="7" t="s">
        <v>61</v>
      </c>
      <c r="I12" s="7"/>
      <c r="J12" s="23" t="s">
        <v>73</v>
      </c>
      <c r="K12" s="7"/>
      <c r="L12" s="7"/>
    </row>
    <row r="13" spans="1:12" x14ac:dyDescent="0.3">
      <c r="A13" s="7" t="s">
        <v>15</v>
      </c>
      <c r="B13" s="7" t="str">
        <f>ZeroToBlank(INDEX(Table2[Division],MATCH(Table1[[#This Row],[Initiative]],Table2[Initiative],0)))</f>
        <v>All</v>
      </c>
      <c r="C13" s="10" t="str">
        <f>ZeroToBlank(INDEX(Table2[Site],MATCH(Table1[[#This Row],[Initiative]],Table2[Initiative],0)))</f>
        <v/>
      </c>
      <c r="D13" s="9" t="str">
        <f>ZeroToBlank(INDEX(Table2[Contact Details],MATCH(Table1[[#This Row],[Initiative]],Table2[Initiative],0)))</f>
        <v/>
      </c>
      <c r="E13" s="10" t="str">
        <f>ZeroToBlank(INDEX(Table2[Email ID],MATCH(Table1[[#This Row],[Initiative]],Table2[Initiative],0)))</f>
        <v/>
      </c>
      <c r="F13" s="7" t="s">
        <v>51</v>
      </c>
      <c r="G13" s="8">
        <v>42011</v>
      </c>
      <c r="H13" s="7" t="s">
        <v>61</v>
      </c>
      <c r="I13" s="7"/>
      <c r="J13" s="23" t="s">
        <v>74</v>
      </c>
      <c r="K13" s="7"/>
      <c r="L13" s="7"/>
    </row>
    <row r="14" spans="1:12" x14ac:dyDescent="0.3">
      <c r="A14" s="7" t="s">
        <v>38</v>
      </c>
      <c r="B14" s="7" t="str">
        <f>ZeroToBlank(INDEX(Table2[Division],MATCH(Table1[[#This Row],[Initiative]],Table2[Initiative],0)))</f>
        <v>Infra</v>
      </c>
      <c r="C14" s="10" t="str">
        <f>ZeroToBlank(INDEX(Table2[Site],MATCH(Table1[[#This Row],[Initiative]],Table2[Initiative],0)))</f>
        <v/>
      </c>
      <c r="D14" s="9" t="str">
        <f>ZeroToBlank(INDEX(Table2[Contact Details],MATCH(Table1[[#This Row],[Initiative]],Table2[Initiative],0)))</f>
        <v/>
      </c>
      <c r="E14" s="10" t="str">
        <f>ZeroToBlank(INDEX(Table2[Email ID],MATCH(Table1[[#This Row],[Initiative]],Table2[Initiative],0)))</f>
        <v/>
      </c>
      <c r="F14" s="7" t="s">
        <v>51</v>
      </c>
      <c r="G14" s="8">
        <v>42011</v>
      </c>
      <c r="H14" s="7" t="s">
        <v>61</v>
      </c>
      <c r="I14" s="7"/>
      <c r="J14" s="23" t="s">
        <v>75</v>
      </c>
      <c r="K14" s="7"/>
      <c r="L14" s="7"/>
    </row>
    <row r="15" spans="1:12" x14ac:dyDescent="0.3">
      <c r="A15" s="7" t="s">
        <v>39</v>
      </c>
      <c r="B15" s="7" t="str">
        <f>ZeroToBlank(INDEX(Table2[Division],MATCH(Table1[[#This Row],[Initiative]],Table2[Initiative],0)))</f>
        <v>Drummella</v>
      </c>
      <c r="C15" s="10" t="str">
        <f>ZeroToBlank(INDEX(Table2[Site],MATCH(Table1[[#This Row],[Initiative]],Table2[Initiative],0)))</f>
        <v/>
      </c>
      <c r="D15" s="9" t="str">
        <f>ZeroToBlank(INDEX(Table2[Contact Details],MATCH(Table1[[#This Row],[Initiative]],Table2[Initiative],0)))</f>
        <v/>
      </c>
      <c r="E15" s="10" t="str">
        <f>ZeroToBlank(INDEX(Table2[Email ID],MATCH(Table1[[#This Row],[Initiative]],Table2[Initiative],0)))</f>
        <v/>
      </c>
      <c r="F15" s="7" t="s">
        <v>50</v>
      </c>
      <c r="G15" s="8">
        <v>42011</v>
      </c>
      <c r="H15" s="7" t="s">
        <v>61</v>
      </c>
      <c r="I15" s="7"/>
      <c r="J15" s="23" t="s">
        <v>76</v>
      </c>
      <c r="K15" s="7"/>
      <c r="L15" s="7"/>
    </row>
    <row r="16" spans="1:12" x14ac:dyDescent="0.3">
      <c r="A16" s="7" t="s">
        <v>40</v>
      </c>
      <c r="B16" s="7" t="str">
        <f>ZeroToBlank(INDEX(Table2[Division],MATCH(Table1[[#This Row],[Initiative]],Table2[Initiative],0)))</f>
        <v>Drummella</v>
      </c>
      <c r="C16" s="10" t="str">
        <f>ZeroToBlank(INDEX(Table2[Site],MATCH(Table1[[#This Row],[Initiative]],Table2[Initiative],0)))</f>
        <v/>
      </c>
      <c r="D16" s="9" t="str">
        <f>ZeroToBlank(INDEX(Table2[Contact Details],MATCH(Table1[[#This Row],[Initiative]],Table2[Initiative],0)))</f>
        <v/>
      </c>
      <c r="E16" s="10" t="str">
        <f>ZeroToBlank(INDEX(Table2[Email ID],MATCH(Table1[[#This Row],[Initiative]],Table2[Initiative],0)))</f>
        <v/>
      </c>
      <c r="F16" s="7" t="s">
        <v>50</v>
      </c>
      <c r="G16" s="8">
        <v>42011</v>
      </c>
      <c r="H16" s="7" t="s">
        <v>61</v>
      </c>
      <c r="I16" s="7"/>
      <c r="J16" s="23" t="s">
        <v>77</v>
      </c>
      <c r="K16" s="7"/>
      <c r="L16" s="7"/>
    </row>
    <row r="17" spans="1:12" x14ac:dyDescent="0.3">
      <c r="A17" s="7" t="s">
        <v>17</v>
      </c>
      <c r="B17" s="7" t="str">
        <f>ZeroToBlank(INDEX(Table2[Division],MATCH(Table1[[#This Row],[Initiative]],Table2[Initiative],0)))</f>
        <v>Drummella</v>
      </c>
      <c r="C17" s="10" t="str">
        <f>ZeroToBlank(INDEX(Table2[Site],MATCH(Table1[[#This Row],[Initiative]],Table2[Initiative],0)))</f>
        <v/>
      </c>
      <c r="D17" s="9" t="str">
        <f>ZeroToBlank(INDEX(Table2[Contact Details],MATCH(Table1[[#This Row],[Initiative]],Table2[Initiative],0)))</f>
        <v/>
      </c>
      <c r="E17" s="10" t="str">
        <f>ZeroToBlank(INDEX(Table2[Email ID],MATCH(Table1[[#This Row],[Initiative]],Table2[Initiative],0)))</f>
        <v/>
      </c>
      <c r="F17" s="7" t="s">
        <v>50</v>
      </c>
      <c r="G17" s="8">
        <v>42011</v>
      </c>
      <c r="H17" s="7" t="s">
        <v>62</v>
      </c>
      <c r="I17" s="7"/>
      <c r="J17" s="23" t="s">
        <v>78</v>
      </c>
      <c r="K17" s="7"/>
      <c r="L17" s="7"/>
    </row>
    <row r="18" spans="1:12" x14ac:dyDescent="0.3">
      <c r="A18" s="16" t="s">
        <v>41</v>
      </c>
      <c r="B18" s="16" t="str">
        <f>ZeroToBlank(INDEX(Table2[Division],MATCH(Table1[[#This Row],[Initiative]],Table2[Initiative],0)))</f>
        <v>All</v>
      </c>
      <c r="C18" s="17" t="str">
        <f>ZeroToBlank(INDEX(Table2[Site],MATCH(Table1[[#This Row],[Initiative]],Table2[Initiative],0)))</f>
        <v/>
      </c>
      <c r="D18" s="18" t="str">
        <f>ZeroToBlank(INDEX(Table2[Contact Details],MATCH(Table1[[#This Row],[Initiative]],Table2[Initiative],0)))</f>
        <v/>
      </c>
      <c r="E18" s="17" t="str">
        <f>ZeroToBlank(INDEX(Table2[Email ID],MATCH(Table1[[#This Row],[Initiative]],Table2[Initiative],0)))</f>
        <v/>
      </c>
      <c r="F18" s="16" t="s">
        <v>50</v>
      </c>
      <c r="G18" s="19">
        <v>42011</v>
      </c>
      <c r="H18" s="16" t="s">
        <v>62</v>
      </c>
      <c r="I18" s="16"/>
      <c r="J18" s="23" t="s">
        <v>79</v>
      </c>
      <c r="K18" s="16"/>
      <c r="L18" s="16"/>
    </row>
    <row r="19" spans="1:12" x14ac:dyDescent="0.3">
      <c r="A19" s="7" t="s">
        <v>42</v>
      </c>
      <c r="B19" s="7" t="str">
        <f>ZeroToBlank(INDEX(Table2[Division],MATCH(Table1[[#This Row],[Initiative]],Table2[Initiative],0)))</f>
        <v>Infra</v>
      </c>
      <c r="C19" s="10" t="str">
        <f>ZeroToBlank(INDEX(Table2[Site],MATCH(Table1[[#This Row],[Initiative]],Table2[Initiative],0)))</f>
        <v/>
      </c>
      <c r="D19" s="9" t="str">
        <f>ZeroToBlank(INDEX(Table2[Contact Details],MATCH(Table1[[#This Row],[Initiative]],Table2[Initiative],0)))</f>
        <v/>
      </c>
      <c r="E19" s="10" t="str">
        <f>ZeroToBlank(INDEX(Table2[Email ID],MATCH(Table1[[#This Row],[Initiative]],Table2[Initiative],0)))</f>
        <v/>
      </c>
      <c r="F19" s="7" t="s">
        <v>51</v>
      </c>
      <c r="G19" s="8">
        <v>42013</v>
      </c>
      <c r="H19" s="7" t="s">
        <v>63</v>
      </c>
      <c r="I19" s="7"/>
      <c r="K19" s="7"/>
      <c r="L19" s="7"/>
    </row>
    <row r="20" spans="1:12" x14ac:dyDescent="0.3">
      <c r="A20" s="7" t="s">
        <v>28</v>
      </c>
      <c r="B20" s="7" t="str">
        <f>ZeroToBlank(INDEX(Table2[Division],MATCH(Table1[[#This Row],[Initiative]],Table2[Initiative],0)))</f>
        <v>All</v>
      </c>
      <c r="C20" s="10" t="str">
        <f>ZeroToBlank(INDEX(Table2[Site],MATCH(Table1[[#This Row],[Initiative]],Table2[Initiative],0)))</f>
        <v/>
      </c>
      <c r="D20" s="9" t="str">
        <f>ZeroToBlank(INDEX(Table2[Contact Details],MATCH(Table1[[#This Row],[Initiative]],Table2[Initiative],0)))</f>
        <v/>
      </c>
      <c r="E20" s="10" t="str">
        <f>ZeroToBlank(INDEX(Table2[Email ID],MATCH(Table1[[#This Row],[Initiative]],Table2[Initiative],0)))</f>
        <v/>
      </c>
      <c r="F20" s="7" t="s">
        <v>51</v>
      </c>
      <c r="G20" s="8">
        <v>42014</v>
      </c>
      <c r="H20" s="7" t="s">
        <v>64</v>
      </c>
      <c r="I20" s="7"/>
      <c r="J20" s="23" t="s">
        <v>80</v>
      </c>
      <c r="K20" s="7" t="s">
        <v>14</v>
      </c>
      <c r="L20" s="7"/>
    </row>
    <row r="21" spans="1:12" x14ac:dyDescent="0.3">
      <c r="A21" s="7" t="s">
        <v>42</v>
      </c>
      <c r="B21" s="7" t="str">
        <f>ZeroToBlank(INDEX(Table2[Division],MATCH(Table1[[#This Row],[Initiative]],Table2[Initiative],0)))</f>
        <v>Infra</v>
      </c>
      <c r="C21" s="10" t="str">
        <f>ZeroToBlank(INDEX(Table2[Site],MATCH(Table1[[#This Row],[Initiative]],Table2[Initiative],0)))</f>
        <v/>
      </c>
      <c r="D21" s="9" t="str">
        <f>ZeroToBlank(INDEX(Table2[Contact Details],MATCH(Table1[[#This Row],[Initiative]],Table2[Initiative],0)))</f>
        <v/>
      </c>
      <c r="E21" s="10" t="str">
        <f>ZeroToBlank(INDEX(Table2[Email ID],MATCH(Table1[[#This Row],[Initiative]],Table2[Initiative],0)))</f>
        <v/>
      </c>
      <c r="F21" s="7" t="s">
        <v>51</v>
      </c>
      <c r="G21" s="8">
        <v>42014</v>
      </c>
      <c r="H21" s="7" t="s">
        <v>65</v>
      </c>
      <c r="I21" s="7"/>
      <c r="J21" s="23" t="s">
        <v>81</v>
      </c>
      <c r="K21" s="7" t="s">
        <v>70</v>
      </c>
      <c r="L21" s="7"/>
    </row>
    <row r="22" spans="1:12" x14ac:dyDescent="0.3">
      <c r="A22" s="7" t="s">
        <v>29</v>
      </c>
      <c r="B22" s="7" t="str">
        <f>ZeroToBlank(INDEX(Table2[Division],MATCH(Table1[[#This Row],[Initiative]],Table2[Initiative],0)))</f>
        <v>All</v>
      </c>
      <c r="C22" s="10" t="str">
        <f>ZeroToBlank(INDEX(Table2[Site],MATCH(Table1[[#This Row],[Initiative]],Table2[Initiative],0)))</f>
        <v/>
      </c>
      <c r="D22" s="9" t="str">
        <f>ZeroToBlank(INDEX(Table2[Contact Details],MATCH(Table1[[#This Row],[Initiative]],Table2[Initiative],0)))</f>
        <v/>
      </c>
      <c r="E22" s="10" t="str">
        <f>ZeroToBlank(INDEX(Table2[Email ID],MATCH(Table1[[#This Row],[Initiative]],Table2[Initiative],0)))</f>
        <v/>
      </c>
      <c r="F22" s="7" t="s">
        <v>51</v>
      </c>
      <c r="G22" s="8">
        <v>42015</v>
      </c>
      <c r="H22" s="7" t="s">
        <v>66</v>
      </c>
      <c r="I22" s="7"/>
      <c r="K22" s="7"/>
      <c r="L22" s="7"/>
    </row>
    <row r="23" spans="1:12" x14ac:dyDescent="0.3">
      <c r="A23" s="16" t="s">
        <v>25</v>
      </c>
      <c r="B23" s="16" t="str">
        <f>ZeroToBlank(INDEX(Table2[Division],MATCH(Table1[[#This Row],[Initiative]],Table2[Initiative],0)))</f>
        <v>Infra</v>
      </c>
      <c r="C23" s="17" t="str">
        <f>ZeroToBlank(INDEX(Table2[Site],MATCH(Table1[[#This Row],[Initiative]],Table2[Initiative],0)))</f>
        <v/>
      </c>
      <c r="D23" s="18" t="str">
        <f>ZeroToBlank(INDEX(Table2[Contact Details],MATCH(Table1[[#This Row],[Initiative]],Table2[Initiative],0)))</f>
        <v/>
      </c>
      <c r="E23" s="17" t="str">
        <f>ZeroToBlank(INDEX(Table2[Email ID],MATCH(Table1[[#This Row],[Initiative]],Table2[Initiative],0)))</f>
        <v/>
      </c>
      <c r="F23" s="16" t="s">
        <v>51</v>
      </c>
      <c r="G23" s="19">
        <v>42015</v>
      </c>
      <c r="H23" s="16" t="s">
        <v>67</v>
      </c>
      <c r="I23" s="16"/>
      <c r="J23" s="23" t="s">
        <v>82</v>
      </c>
      <c r="K23" s="16"/>
      <c r="L23" s="16"/>
    </row>
    <row r="24" spans="1:12" x14ac:dyDescent="0.3">
      <c r="A24" s="16" t="s">
        <v>27</v>
      </c>
      <c r="B24" s="16" t="str">
        <f>ZeroToBlank(INDEX(Table2[Division],MATCH(Table1[[#This Row],[Initiative]],Table2[Initiative],0)))</f>
        <v>YCH</v>
      </c>
      <c r="C24" s="17" t="str">
        <f>ZeroToBlank(INDEX(Table2[Site],MATCH(Table1[[#This Row],[Initiative]],Table2[Initiative],0)))</f>
        <v/>
      </c>
      <c r="D24" s="18" t="str">
        <f>ZeroToBlank(INDEX(Table2[Contact Details],MATCH(Table1[[#This Row],[Initiative]],Table2[Initiative],0)))</f>
        <v/>
      </c>
      <c r="E24" s="17" t="str">
        <f>ZeroToBlank(INDEX(Table2[Email ID],MATCH(Table1[[#This Row],[Initiative]],Table2[Initiative],0)))</f>
        <v/>
      </c>
      <c r="F24" s="16" t="s">
        <v>50</v>
      </c>
      <c r="G24" s="19">
        <v>42023</v>
      </c>
      <c r="H24" s="16" t="s">
        <v>83</v>
      </c>
      <c r="I24" s="16"/>
      <c r="J24" s="26" t="s">
        <v>84</v>
      </c>
      <c r="K24" s="16" t="s">
        <v>89</v>
      </c>
      <c r="L24" s="16"/>
    </row>
    <row r="25" spans="1:12" x14ac:dyDescent="0.3">
      <c r="A25" s="16" t="s">
        <v>86</v>
      </c>
      <c r="B25" s="16" t="str">
        <f>ZeroToBlank(INDEX(Table2[Division],MATCH(Table1[[#This Row],[Initiative]],Table2[Initiative],0)))</f>
        <v>YCH</v>
      </c>
      <c r="C25" s="17" t="str">
        <f>ZeroToBlank(INDEX(Table2[Site],MATCH(Table1[[#This Row],[Initiative]],Table2[Initiative],0)))</f>
        <v/>
      </c>
      <c r="D25" s="18" t="str">
        <f>ZeroToBlank(INDEX(Table2[Contact Details],MATCH(Table1[[#This Row],[Initiative]],Table2[Initiative],0)))</f>
        <v/>
      </c>
      <c r="E25" s="17" t="str">
        <f>ZeroToBlank(INDEX(Table2[Email ID],MATCH(Table1[[#This Row],[Initiative]],Table2[Initiative],0)))</f>
        <v/>
      </c>
      <c r="F25" s="16" t="s">
        <v>50</v>
      </c>
      <c r="G25" s="19">
        <v>42017</v>
      </c>
      <c r="H25" s="16" t="s">
        <v>87</v>
      </c>
      <c r="I25" s="16"/>
      <c r="J25" s="26" t="s">
        <v>88</v>
      </c>
      <c r="K25" s="16" t="s">
        <v>89</v>
      </c>
      <c r="L25" s="16"/>
    </row>
    <row r="26" spans="1:12" x14ac:dyDescent="0.3">
      <c r="A26" s="16" t="s">
        <v>29</v>
      </c>
      <c r="B26" s="16" t="str">
        <f>ZeroToBlank(INDEX(Table2[Division],MATCH(Table1[[#This Row],[Initiative]],Table2[Initiative],0)))</f>
        <v>All</v>
      </c>
      <c r="C26" s="17" t="str">
        <f>ZeroToBlank(INDEX(Table2[Site],MATCH(Table1[[#This Row],[Initiative]],Table2[Initiative],0)))</f>
        <v/>
      </c>
      <c r="D26" s="18" t="str">
        <f>ZeroToBlank(INDEX(Table2[Contact Details],MATCH(Table1[[#This Row],[Initiative]],Table2[Initiative],0)))</f>
        <v/>
      </c>
      <c r="E26" s="17" t="str">
        <f>ZeroToBlank(INDEX(Table2[Email ID],MATCH(Table1[[#This Row],[Initiative]],Table2[Initiative],0)))</f>
        <v/>
      </c>
      <c r="F26" s="16" t="s">
        <v>51</v>
      </c>
      <c r="G26" s="19">
        <v>42019</v>
      </c>
      <c r="H26" s="16" t="s">
        <v>90</v>
      </c>
      <c r="I26" s="16"/>
      <c r="J26" s="16"/>
      <c r="K26" s="16"/>
      <c r="L26" s="16"/>
    </row>
    <row r="27" spans="1:12" x14ac:dyDescent="0.3">
      <c r="A27" s="16" t="s">
        <v>16</v>
      </c>
      <c r="B27" s="16" t="str">
        <f>ZeroToBlank(INDEX(Table2[Division],MATCH(Table1[[#This Row],[Initiative]],Table2[Initiative],0)))</f>
        <v>Infra</v>
      </c>
      <c r="C27" s="17" t="str">
        <f>ZeroToBlank(INDEX(Table2[Site],MATCH(Table1[[#This Row],[Initiative]],Table2[Initiative],0)))</f>
        <v/>
      </c>
      <c r="D27" s="18" t="str">
        <f>ZeroToBlank(INDEX(Table2[Contact Details],MATCH(Table1[[#This Row],[Initiative]],Table2[Initiative],0)))</f>
        <v/>
      </c>
      <c r="E27" s="17" t="str">
        <f>ZeroToBlank(INDEX(Table2[Email ID],MATCH(Table1[[#This Row],[Initiative]],Table2[Initiative],0)))</f>
        <v/>
      </c>
      <c r="F27" s="16" t="s">
        <v>51</v>
      </c>
      <c r="G27" s="19">
        <v>42021</v>
      </c>
      <c r="H27" s="16" t="s">
        <v>91</v>
      </c>
      <c r="I27" s="16"/>
      <c r="J27" s="16"/>
      <c r="K27" s="16"/>
      <c r="L27" s="16"/>
    </row>
    <row r="28" spans="1:12" x14ac:dyDescent="0.3">
      <c r="A28" s="16" t="s">
        <v>30</v>
      </c>
      <c r="B28" s="16" t="str">
        <f>ZeroToBlank(INDEX(Table2[Division],MATCH(Table1[[#This Row],[Initiative]],Table2[Initiative],0)))</f>
        <v>Infra</v>
      </c>
      <c r="C28" s="17" t="str">
        <f>ZeroToBlank(INDEX(Table2[Site],MATCH(Table1[[#This Row],[Initiative]],Table2[Initiative],0)))</f>
        <v/>
      </c>
      <c r="D28" s="18" t="str">
        <f>ZeroToBlank(INDEX(Table2[Contact Details],MATCH(Table1[[#This Row],[Initiative]],Table2[Initiative],0)))</f>
        <v/>
      </c>
      <c r="E28" s="17" t="str">
        <f>ZeroToBlank(INDEX(Table2[Email ID],MATCH(Table1[[#This Row],[Initiative]],Table2[Initiative],0)))</f>
        <v/>
      </c>
      <c r="F28" s="16" t="s">
        <v>51</v>
      </c>
      <c r="G28" s="19">
        <v>42023</v>
      </c>
      <c r="H28" s="16" t="s">
        <v>96</v>
      </c>
      <c r="I28" s="16"/>
      <c r="J28" s="16"/>
      <c r="K28" s="16"/>
      <c r="L28" s="16"/>
    </row>
    <row r="29" spans="1:12" x14ac:dyDescent="0.3">
      <c r="A29" s="16" t="s">
        <v>95</v>
      </c>
      <c r="B29" s="16" t="str">
        <f>ZeroToBlank(INDEX(Table2[Division],MATCH(Table1[[#This Row],[Initiative]],Table2[Initiative],0)))</f>
        <v>Nilga</v>
      </c>
      <c r="C29" s="17" t="str">
        <f>ZeroToBlank(INDEX(Table2[Site],MATCH(Table1[[#This Row],[Initiative]],Table2[Initiative],0)))</f>
        <v/>
      </c>
      <c r="D29" s="18" t="str">
        <f>ZeroToBlank(INDEX(Table2[Contact Details],MATCH(Table1[[#This Row],[Initiative]],Table2[Initiative],0)))</f>
        <v/>
      </c>
      <c r="E29" s="17" t="str">
        <f>ZeroToBlank(INDEX(Table2[Email ID],MATCH(Table1[[#This Row],[Initiative]],Table2[Initiative],0)))</f>
        <v/>
      </c>
      <c r="F29" s="16" t="s">
        <v>50</v>
      </c>
      <c r="G29" s="19">
        <v>42023</v>
      </c>
      <c r="H29" s="16" t="s">
        <v>97</v>
      </c>
      <c r="I29" s="16"/>
      <c r="J29" s="16"/>
      <c r="K29" s="16"/>
      <c r="L29" s="16"/>
    </row>
    <row r="30" spans="1:12" x14ac:dyDescent="0.3">
      <c r="A30" s="16" t="s">
        <v>42</v>
      </c>
      <c r="B30" s="16" t="str">
        <f>ZeroToBlank(INDEX(Table2[Division],MATCH(Table1[[#This Row],[Initiative]],Table2[Initiative],0)))</f>
        <v>Infra</v>
      </c>
      <c r="C30" s="17" t="str">
        <f>ZeroToBlank(INDEX(Table2[Site],MATCH(Table1[[#This Row],[Initiative]],Table2[Initiative],0)))</f>
        <v/>
      </c>
      <c r="D30" s="18" t="str">
        <f>ZeroToBlank(INDEX(Table2[Contact Details],MATCH(Table1[[#This Row],[Initiative]],Table2[Initiative],0)))</f>
        <v/>
      </c>
      <c r="E30" s="17" t="str">
        <f>ZeroToBlank(INDEX(Table2[Email ID],MATCH(Table1[[#This Row],[Initiative]],Table2[Initiative],0)))</f>
        <v/>
      </c>
      <c r="F30" s="16" t="s">
        <v>51</v>
      </c>
      <c r="G30" s="19">
        <v>42028</v>
      </c>
      <c r="H30" s="16" t="s">
        <v>98</v>
      </c>
      <c r="I30" s="16"/>
      <c r="J30" s="16"/>
      <c r="K30" s="16"/>
      <c r="L30" s="16" t="s">
        <v>99</v>
      </c>
    </row>
    <row r="31" spans="1:12" x14ac:dyDescent="0.3">
      <c r="A31" s="16" t="s">
        <v>28</v>
      </c>
      <c r="B31" s="16" t="str">
        <f>ZeroToBlank(INDEX(Table2[Division],MATCH(Table1[[#This Row],[Initiative]],Table2[Initiative],0)))</f>
        <v>All</v>
      </c>
      <c r="C31" s="17" t="str">
        <f>ZeroToBlank(INDEX(Table2[Site],MATCH(Table1[[#This Row],[Initiative]],Table2[Initiative],0)))</f>
        <v/>
      </c>
      <c r="D31" s="18" t="str">
        <f>ZeroToBlank(INDEX(Table2[Contact Details],MATCH(Table1[[#This Row],[Initiative]],Table2[Initiative],0)))</f>
        <v/>
      </c>
      <c r="E31" s="17" t="str">
        <f>ZeroToBlank(INDEX(Table2[Email ID],MATCH(Table1[[#This Row],[Initiative]],Table2[Initiative],0)))</f>
        <v/>
      </c>
      <c r="F31" s="16" t="s">
        <v>51</v>
      </c>
      <c r="G31" s="19">
        <v>42024</v>
      </c>
      <c r="H31" s="16" t="s">
        <v>100</v>
      </c>
      <c r="I31" s="16"/>
      <c r="J31" s="16"/>
      <c r="K31" s="16"/>
      <c r="L31" s="16"/>
    </row>
    <row r="32" spans="1:12" x14ac:dyDescent="0.3">
      <c r="A32" s="16" t="s">
        <v>30</v>
      </c>
      <c r="B32" s="16" t="str">
        <f>ZeroToBlank(INDEX(Table2[Division],MATCH(Table1[[#This Row],[Initiative]],Table2[Initiative],0)))</f>
        <v>Infra</v>
      </c>
      <c r="C32" s="17" t="str">
        <f>ZeroToBlank(INDEX(Table2[Site],MATCH(Table1[[#This Row],[Initiative]],Table2[Initiative],0)))</f>
        <v/>
      </c>
      <c r="D32" s="18" t="str">
        <f>ZeroToBlank(INDEX(Table2[Contact Details],MATCH(Table1[[#This Row],[Initiative]],Table2[Initiative],0)))</f>
        <v/>
      </c>
      <c r="E32" s="17" t="str">
        <f>ZeroToBlank(INDEX(Table2[Email ID],MATCH(Table1[[#This Row],[Initiative]],Table2[Initiative],0)))</f>
        <v/>
      </c>
      <c r="F32" s="16" t="s">
        <v>50</v>
      </c>
      <c r="G32" s="19">
        <v>42027</v>
      </c>
      <c r="H32" s="16" t="s">
        <v>101</v>
      </c>
      <c r="I32" s="16"/>
      <c r="J32" s="16"/>
      <c r="K32" s="16"/>
      <c r="L32" s="16" t="s">
        <v>104</v>
      </c>
    </row>
    <row r="33" spans="1:12" x14ac:dyDescent="0.3">
      <c r="A33" s="7" t="s">
        <v>30</v>
      </c>
      <c r="B33" s="7" t="str">
        <f>ZeroToBlank(INDEX(Table2[Division],MATCH(Table1[[#This Row],[Initiative]],Table2[Initiative],0)))</f>
        <v>Infra</v>
      </c>
      <c r="C33" s="10" t="str">
        <f>ZeroToBlank(INDEX(Table2[Site],MATCH(Table1[[#This Row],[Initiative]],Table2[Initiative],0)))</f>
        <v/>
      </c>
      <c r="D33" s="9" t="str">
        <f>ZeroToBlank(INDEX(Table2[Contact Details],MATCH(Table1[[#This Row],[Initiative]],Table2[Initiative],0)))</f>
        <v/>
      </c>
      <c r="E33" s="10" t="str">
        <f>ZeroToBlank(INDEX(Table2[Email ID],MATCH(Table1[[#This Row],[Initiative]],Table2[Initiative],0)))</f>
        <v/>
      </c>
      <c r="F33" s="16" t="s">
        <v>50</v>
      </c>
      <c r="G33" s="8">
        <v>42028</v>
      </c>
      <c r="H33" s="7" t="s">
        <v>102</v>
      </c>
      <c r="I33" s="7"/>
      <c r="J33" s="7"/>
      <c r="K33" s="7"/>
      <c r="L33" s="7" t="s">
        <v>103</v>
      </c>
    </row>
    <row r="34" spans="1:12" x14ac:dyDescent="0.3">
      <c r="A34" s="16" t="s">
        <v>32</v>
      </c>
      <c r="B34" s="16" t="str">
        <f>ZeroToBlank(INDEX(Table2[Division],MATCH(Table1[[#This Row],[Initiative]],Table2[Initiative],0)))</f>
        <v>Infra</v>
      </c>
      <c r="C34" s="17" t="str">
        <f>ZeroToBlank(INDEX(Table2[Site],MATCH(Table1[[#This Row],[Initiative]],Table2[Initiative],0)))</f>
        <v/>
      </c>
      <c r="D34" s="18" t="str">
        <f>ZeroToBlank(INDEX(Table2[Contact Details],MATCH(Table1[[#This Row],[Initiative]],Table2[Initiative],0)))</f>
        <v/>
      </c>
      <c r="E34" s="17" t="str">
        <f>ZeroToBlank(INDEX(Table2[Email ID],MATCH(Table1[[#This Row],[Initiative]],Table2[Initiative],0)))</f>
        <v/>
      </c>
      <c r="F34" s="16" t="s">
        <v>50</v>
      </c>
      <c r="G34" s="19">
        <v>42028</v>
      </c>
      <c r="H34" s="16" t="s">
        <v>105</v>
      </c>
      <c r="I34" s="16"/>
      <c r="J34" s="16"/>
      <c r="K34" s="16"/>
      <c r="L34" s="16" t="s">
        <v>106</v>
      </c>
    </row>
    <row r="35" spans="1:12" x14ac:dyDescent="0.3">
      <c r="A35" s="16" t="s">
        <v>85</v>
      </c>
      <c r="B35" s="16" t="str">
        <f>ZeroToBlank(INDEX(Table2[Division],MATCH(Table1[[#This Row],[Initiative]],Table2[Initiative],0)))</f>
        <v>YCH</v>
      </c>
      <c r="C35" s="17" t="str">
        <f>ZeroToBlank(INDEX(Table2[Site],MATCH(Table1[[#This Row],[Initiative]],Table2[Initiative],0)))</f>
        <v/>
      </c>
      <c r="D35" s="18" t="str">
        <f>ZeroToBlank(INDEX(Table2[Contact Details],MATCH(Table1[[#This Row],[Initiative]],Table2[Initiative],0)))</f>
        <v/>
      </c>
      <c r="E35" s="17" t="str">
        <f>ZeroToBlank(INDEX(Table2[Email ID],MATCH(Table1[[#This Row],[Initiative]],Table2[Initiative],0)))</f>
        <v/>
      </c>
      <c r="F35" s="16" t="s">
        <v>50</v>
      </c>
      <c r="G35" s="19">
        <v>42028</v>
      </c>
      <c r="H35" s="16" t="s">
        <v>56</v>
      </c>
      <c r="I35" s="16"/>
      <c r="J35" s="16"/>
      <c r="K35" s="16"/>
      <c r="L35" s="16"/>
    </row>
    <row r="36" spans="1:12" x14ac:dyDescent="0.3">
      <c r="A36" s="16" t="s">
        <v>93</v>
      </c>
      <c r="B36" s="16" t="str">
        <f>ZeroToBlank(INDEX(Table2[Division],MATCH(Table1[[#This Row],[Initiative]],Table2[Initiative],0)))</f>
        <v>Nilga</v>
      </c>
      <c r="C36" s="17" t="str">
        <f>ZeroToBlank(INDEX(Table2[Site],MATCH(Table1[[#This Row],[Initiative]],Table2[Initiative],0)))</f>
        <v/>
      </c>
      <c r="D36" s="18" t="str">
        <f>ZeroToBlank(INDEX(Table2[Contact Details],MATCH(Table1[[#This Row],[Initiative]],Table2[Initiative],0)))</f>
        <v/>
      </c>
      <c r="E36" s="17" t="str">
        <f>ZeroToBlank(INDEX(Table2[Email ID],MATCH(Table1[[#This Row],[Initiative]],Table2[Initiative],0)))</f>
        <v/>
      </c>
      <c r="F36" s="16" t="s">
        <v>50</v>
      </c>
      <c r="G36" s="19">
        <v>42027</v>
      </c>
      <c r="H36" s="16" t="s">
        <v>107</v>
      </c>
      <c r="I36" s="16"/>
      <c r="J36" s="16"/>
      <c r="K36" s="16"/>
      <c r="L36" s="16"/>
    </row>
    <row r="37" spans="1:12" x14ac:dyDescent="0.3">
      <c r="A37" s="16" t="s">
        <v>17</v>
      </c>
      <c r="B37" s="16" t="str">
        <f>ZeroToBlank(INDEX(Table2[Division],MATCH(Table1[[#This Row],[Initiative]],Table2[Initiative],0)))</f>
        <v>Drummella</v>
      </c>
      <c r="C37" s="17" t="str">
        <f>ZeroToBlank(INDEX(Table2[Site],MATCH(Table1[[#This Row],[Initiative]],Table2[Initiative],0)))</f>
        <v/>
      </c>
      <c r="D37" s="18" t="str">
        <f>ZeroToBlank(INDEX(Table2[Contact Details],MATCH(Table1[[#This Row],[Initiative]],Table2[Initiative],0)))</f>
        <v/>
      </c>
      <c r="E37" s="17" t="str">
        <f>ZeroToBlank(INDEX(Table2[Email ID],MATCH(Table1[[#This Row],[Initiative]],Table2[Initiative],0)))</f>
        <v/>
      </c>
      <c r="F37" s="16" t="s">
        <v>50</v>
      </c>
      <c r="G37" s="19">
        <v>42044</v>
      </c>
      <c r="H37" s="16" t="s">
        <v>110</v>
      </c>
      <c r="I37" s="16"/>
      <c r="J37" s="16"/>
      <c r="K37" s="16"/>
      <c r="L37" s="16"/>
    </row>
    <row r="38" spans="1:12" x14ac:dyDescent="0.3">
      <c r="A38" s="7" t="s">
        <v>17</v>
      </c>
      <c r="B38" s="7" t="str">
        <f>ZeroToBlank(INDEX(Table2[Division],MATCH(Table1[[#This Row],[Initiative]],Table2[Initiative],0)))</f>
        <v>Drummella</v>
      </c>
      <c r="C38" s="10" t="str">
        <f>ZeroToBlank(INDEX(Table2[Site],MATCH(Table1[[#This Row],[Initiative]],Table2[Initiative],0)))</f>
        <v/>
      </c>
      <c r="D38" s="9" t="str">
        <f>ZeroToBlank(INDEX(Table2[Contact Details],MATCH(Table1[[#This Row],[Initiative]],Table2[Initiative],0)))</f>
        <v/>
      </c>
      <c r="E38" s="10" t="str">
        <f>ZeroToBlank(INDEX(Table2[Email ID],MATCH(Table1[[#This Row],[Initiative]],Table2[Initiative],0)))</f>
        <v/>
      </c>
      <c r="F38" s="7" t="s">
        <v>50</v>
      </c>
      <c r="G38" s="19">
        <v>42046</v>
      </c>
      <c r="H38" s="7" t="s">
        <v>111</v>
      </c>
      <c r="I38" s="7"/>
      <c r="J38" s="7"/>
      <c r="K38" s="7"/>
      <c r="L38" s="7"/>
    </row>
    <row r="39" spans="1:12" x14ac:dyDescent="0.3">
      <c r="A39" s="16" t="s">
        <v>112</v>
      </c>
      <c r="B39" s="16" t="str">
        <f>ZeroToBlank(INDEX(Table2[Division],MATCH(Table1[[#This Row],[Initiative]],Table2[Initiative],0)))</f>
        <v>Infra</v>
      </c>
      <c r="C39" s="17" t="str">
        <f>ZeroToBlank(INDEX(Table2[Site],MATCH(Table1[[#This Row],[Initiative]],Table2[Initiative],0)))</f>
        <v/>
      </c>
      <c r="D39" s="18" t="str">
        <f>ZeroToBlank(INDEX(Table2[Contact Details],MATCH(Table1[[#This Row],[Initiative]],Table2[Initiative],0)))</f>
        <v/>
      </c>
      <c r="E39" s="17" t="str">
        <f>ZeroToBlank(INDEX(Table2[Email ID],MATCH(Table1[[#This Row],[Initiative]],Table2[Initiative],0)))</f>
        <v/>
      </c>
      <c r="F39" s="16" t="s">
        <v>50</v>
      </c>
      <c r="G39" s="19">
        <v>42044</v>
      </c>
      <c r="H39" s="16" t="s">
        <v>113</v>
      </c>
      <c r="I39" s="16"/>
      <c r="J39" s="16"/>
      <c r="K39" s="16"/>
      <c r="L39" s="16"/>
    </row>
    <row r="40" spans="1:12" x14ac:dyDescent="0.3">
      <c r="A40" s="16" t="s">
        <v>94</v>
      </c>
      <c r="B40" s="16" t="str">
        <f>ZeroToBlank(INDEX(Table2[Division],MATCH(Table1[[#This Row],[Initiative]],Table2[Initiative],0)))</f>
        <v>Nilga</v>
      </c>
      <c r="C40" s="17" t="str">
        <f>ZeroToBlank(INDEX(Table2[Site],MATCH(Table1[[#This Row],[Initiative]],Table2[Initiative],0)))</f>
        <v/>
      </c>
      <c r="D40" s="18" t="str">
        <f>ZeroToBlank(INDEX(Table2[Contact Details],MATCH(Table1[[#This Row],[Initiative]],Table2[Initiative],0)))</f>
        <v/>
      </c>
      <c r="E40" s="17" t="str">
        <f>ZeroToBlank(INDEX(Table2[Email ID],MATCH(Table1[[#This Row],[Initiative]],Table2[Initiative],0)))</f>
        <v/>
      </c>
      <c r="F40" s="16" t="s">
        <v>50</v>
      </c>
      <c r="G40" s="19">
        <v>42044</v>
      </c>
      <c r="H40" s="16" t="s">
        <v>114</v>
      </c>
      <c r="I40" s="16"/>
      <c r="J40" s="16"/>
      <c r="K40" s="16"/>
      <c r="L40" s="16"/>
    </row>
    <row r="41" spans="1:12" x14ac:dyDescent="0.3">
      <c r="A41" s="16" t="s">
        <v>37</v>
      </c>
      <c r="B41" s="16" t="str">
        <f>ZeroToBlank(INDEX(Table2[Division],MATCH(Table1[[#This Row],[Initiative]],Table2[Initiative],0)))</f>
        <v>All</v>
      </c>
      <c r="C41" s="17" t="str">
        <f>ZeroToBlank(INDEX(Table2[Site],MATCH(Table1[[#This Row],[Initiative]],Table2[Initiative],0)))</f>
        <v/>
      </c>
      <c r="D41" s="18" t="str">
        <f>ZeroToBlank(INDEX(Table2[Contact Details],MATCH(Table1[[#This Row],[Initiative]],Table2[Initiative],0)))</f>
        <v/>
      </c>
      <c r="E41" s="17" t="str">
        <f>ZeroToBlank(INDEX(Table2[Email ID],MATCH(Table1[[#This Row],[Initiative]],Table2[Initiative],0)))</f>
        <v/>
      </c>
      <c r="F41" s="16" t="s">
        <v>50</v>
      </c>
      <c r="G41" s="19">
        <v>42044</v>
      </c>
      <c r="H41" s="16" t="s">
        <v>61</v>
      </c>
      <c r="I41" s="16"/>
      <c r="J41" s="16"/>
      <c r="K41" s="16"/>
      <c r="L41" s="16"/>
    </row>
    <row r="42" spans="1:12" x14ac:dyDescent="0.3">
      <c r="A42" s="16" t="s">
        <v>30</v>
      </c>
      <c r="B42" s="16" t="str">
        <f>ZeroToBlank(INDEX(Table2[Division],MATCH(Table1[[#This Row],[Initiative]],Table2[Initiative],0)))</f>
        <v>Infra</v>
      </c>
      <c r="C42" s="17" t="str">
        <f>ZeroToBlank(INDEX(Table2[Site],MATCH(Table1[[#This Row],[Initiative]],Table2[Initiative],0)))</f>
        <v/>
      </c>
      <c r="D42" s="18" t="str">
        <f>ZeroToBlank(INDEX(Table2[Contact Details],MATCH(Table1[[#This Row],[Initiative]],Table2[Initiative],0)))</f>
        <v/>
      </c>
      <c r="E42" s="17" t="str">
        <f>ZeroToBlank(INDEX(Table2[Email ID],MATCH(Table1[[#This Row],[Initiative]],Table2[Initiative],0)))</f>
        <v/>
      </c>
      <c r="F42" s="16" t="s">
        <v>50</v>
      </c>
      <c r="G42" s="19">
        <v>42044</v>
      </c>
      <c r="H42" s="16" t="s">
        <v>115</v>
      </c>
      <c r="I42" s="16"/>
      <c r="J42" s="16"/>
      <c r="K42" s="16"/>
      <c r="L42" s="16"/>
    </row>
    <row r="43" spans="1:12" x14ac:dyDescent="0.3">
      <c r="A43" s="16" t="s">
        <v>15</v>
      </c>
      <c r="B43" s="16" t="str">
        <f>ZeroToBlank(INDEX(Table2[Division],MATCH(Table1[[#This Row],[Initiative]],Table2[Initiative],0)))</f>
        <v>All</v>
      </c>
      <c r="C43" s="17" t="str">
        <f>ZeroToBlank(INDEX(Table2[Site],MATCH(Table1[[#This Row],[Initiative]],Table2[Initiative],0)))</f>
        <v/>
      </c>
      <c r="D43" s="18" t="str">
        <f>ZeroToBlank(INDEX(Table2[Contact Details],MATCH(Table1[[#This Row],[Initiative]],Table2[Initiative],0)))</f>
        <v/>
      </c>
      <c r="E43" s="17" t="str">
        <f>ZeroToBlank(INDEX(Table2[Email ID],MATCH(Table1[[#This Row],[Initiative]],Table2[Initiative],0)))</f>
        <v/>
      </c>
      <c r="F43" s="16" t="s">
        <v>50</v>
      </c>
      <c r="G43" s="19">
        <v>42044</v>
      </c>
      <c r="H43" s="16" t="s">
        <v>116</v>
      </c>
      <c r="I43" s="26" t="s">
        <v>122</v>
      </c>
      <c r="J43" s="16"/>
      <c r="K43" s="16"/>
      <c r="L43" s="16"/>
    </row>
    <row r="44" spans="1:12" x14ac:dyDescent="0.3">
      <c r="A44" s="16" t="s">
        <v>38</v>
      </c>
      <c r="B44" s="16" t="str">
        <f>ZeroToBlank(INDEX(Table2[Division],MATCH(Table1[[#This Row],[Initiative]],Table2[Initiative],0)))</f>
        <v>Infra</v>
      </c>
      <c r="C44" s="17" t="str">
        <f>ZeroToBlank(INDEX(Table2[Site],MATCH(Table1[[#This Row],[Initiative]],Table2[Initiative],0)))</f>
        <v/>
      </c>
      <c r="D44" s="18" t="str">
        <f>ZeroToBlank(INDEX(Table2[Contact Details],MATCH(Table1[[#This Row],[Initiative]],Table2[Initiative],0)))</f>
        <v/>
      </c>
      <c r="E44" s="17" t="str">
        <f>ZeroToBlank(INDEX(Table2[Email ID],MATCH(Table1[[#This Row],[Initiative]],Table2[Initiative],0)))</f>
        <v/>
      </c>
      <c r="F44" s="16" t="s">
        <v>50</v>
      </c>
      <c r="G44" s="19">
        <v>42046</v>
      </c>
      <c r="H44" s="16" t="s">
        <v>117</v>
      </c>
      <c r="I44" s="26" t="s">
        <v>120</v>
      </c>
      <c r="J44" s="16"/>
      <c r="K44" s="16"/>
      <c r="L44" s="16"/>
    </row>
    <row r="45" spans="1:12" x14ac:dyDescent="0.3">
      <c r="A45" s="16" t="s">
        <v>36</v>
      </c>
      <c r="B45" s="16" t="str">
        <f>ZeroToBlank(INDEX(Table2[Division],MATCH(Table1[[#This Row],[Initiative]],Table2[Initiative],0)))</f>
        <v>Nilga</v>
      </c>
      <c r="C45" s="17" t="str">
        <f>ZeroToBlank(INDEX(Table2[Site],MATCH(Table1[[#This Row],[Initiative]],Table2[Initiative],0)))</f>
        <v/>
      </c>
      <c r="D45" s="18" t="str">
        <f>ZeroToBlank(INDEX(Table2[Contact Details],MATCH(Table1[[#This Row],[Initiative]],Table2[Initiative],0)))</f>
        <v/>
      </c>
      <c r="E45" s="17" t="str">
        <f>ZeroToBlank(INDEX(Table2[Email ID],MATCH(Table1[[#This Row],[Initiative]],Table2[Initiative],0)))</f>
        <v/>
      </c>
      <c r="F45" s="16" t="s">
        <v>50</v>
      </c>
      <c r="G45" s="19">
        <v>42046</v>
      </c>
      <c r="H45" s="16" t="s">
        <v>117</v>
      </c>
      <c r="I45" s="26" t="s">
        <v>120</v>
      </c>
      <c r="J45" s="16"/>
      <c r="K45" s="16"/>
      <c r="L45" s="16"/>
    </row>
    <row r="46" spans="1:12" x14ac:dyDescent="0.3">
      <c r="A46" s="16" t="s">
        <v>37</v>
      </c>
      <c r="B46" s="16" t="str">
        <f>ZeroToBlank(INDEX(Table2[Division],MATCH(Table1[[#This Row],[Initiative]],Table2[Initiative],0)))</f>
        <v>All</v>
      </c>
      <c r="C46" s="17" t="str">
        <f>ZeroToBlank(INDEX(Table2[Site],MATCH(Table1[[#This Row],[Initiative]],Table2[Initiative],0)))</f>
        <v/>
      </c>
      <c r="D46" s="18" t="str">
        <f>ZeroToBlank(INDEX(Table2[Contact Details],MATCH(Table1[[#This Row],[Initiative]],Table2[Initiative],0)))</f>
        <v/>
      </c>
      <c r="E46" s="17" t="str">
        <f>ZeroToBlank(INDEX(Table2[Email ID],MATCH(Table1[[#This Row],[Initiative]],Table2[Initiative],0)))</f>
        <v/>
      </c>
      <c r="F46" s="16" t="s">
        <v>50</v>
      </c>
      <c r="G46" s="19">
        <v>42046</v>
      </c>
      <c r="H46" s="16" t="s">
        <v>118</v>
      </c>
      <c r="I46" s="26" t="s">
        <v>120</v>
      </c>
      <c r="J46" s="16"/>
      <c r="K46" s="16"/>
      <c r="L46" s="16"/>
    </row>
    <row r="47" spans="1:12" x14ac:dyDescent="0.3">
      <c r="A47" s="16" t="s">
        <v>16</v>
      </c>
      <c r="B47" s="16" t="str">
        <f>ZeroToBlank(INDEX(Table2[Division],MATCH(Table1[[#This Row],[Initiative]],Table2[Initiative],0)))</f>
        <v>Infra</v>
      </c>
      <c r="C47" s="17" t="str">
        <f>ZeroToBlank(INDEX(Table2[Site],MATCH(Table1[[#This Row],[Initiative]],Table2[Initiative],0)))</f>
        <v/>
      </c>
      <c r="D47" s="18" t="str">
        <f>ZeroToBlank(INDEX(Table2[Contact Details],MATCH(Table1[[#This Row],[Initiative]],Table2[Initiative],0)))</f>
        <v/>
      </c>
      <c r="E47" s="17" t="str">
        <f>ZeroToBlank(INDEX(Table2[Email ID],MATCH(Table1[[#This Row],[Initiative]],Table2[Initiative],0)))</f>
        <v/>
      </c>
      <c r="F47" s="16" t="s">
        <v>51</v>
      </c>
      <c r="G47" s="19">
        <v>42045</v>
      </c>
      <c r="H47" s="16" t="s">
        <v>119</v>
      </c>
      <c r="I47" s="26" t="s">
        <v>121</v>
      </c>
      <c r="J47" s="16"/>
      <c r="K47" s="16"/>
      <c r="L47" s="16"/>
    </row>
    <row r="48" spans="1:12" x14ac:dyDescent="0.3">
      <c r="A48" s="16" t="s">
        <v>123</v>
      </c>
      <c r="B48" s="16" t="str">
        <f>ZeroToBlank(INDEX(Table2[Division],MATCH(Table1[[#This Row],[Initiative]],Table2[Initiative],0)))</f>
        <v>Infra</v>
      </c>
      <c r="C48" s="17" t="str">
        <f>ZeroToBlank(INDEX(Table2[Site],MATCH(Table1[[#This Row],[Initiative]],Table2[Initiative],0)))</f>
        <v/>
      </c>
      <c r="D48" s="18" t="str">
        <f>ZeroToBlank(INDEX(Table2[Contact Details],MATCH(Table1[[#This Row],[Initiative]],Table2[Initiative],0)))</f>
        <v/>
      </c>
      <c r="E48" s="17" t="str">
        <f>ZeroToBlank(INDEX(Table2[Email ID],MATCH(Table1[[#This Row],[Initiative]],Table2[Initiative],0)))</f>
        <v/>
      </c>
      <c r="F48" s="16" t="s">
        <v>50</v>
      </c>
      <c r="G48" s="19">
        <v>42037</v>
      </c>
      <c r="H48" s="16" t="s">
        <v>124</v>
      </c>
      <c r="I48" s="16"/>
      <c r="J48" s="16"/>
      <c r="K48" s="16"/>
      <c r="L48" s="16"/>
    </row>
    <row r="49" spans="1:12" x14ac:dyDescent="0.3">
      <c r="A49" s="7" t="s">
        <v>123</v>
      </c>
      <c r="B49" s="7" t="str">
        <f>ZeroToBlank(INDEX(Table2[Division],MATCH(Table1[[#This Row],[Initiative]],Table2[Initiative],0)))</f>
        <v>Infra</v>
      </c>
      <c r="C49" s="10" t="str">
        <f>ZeroToBlank(INDEX(Table2[Site],MATCH(Table1[[#This Row],[Initiative]],Table2[Initiative],0)))</f>
        <v/>
      </c>
      <c r="D49" s="9" t="str">
        <f>ZeroToBlank(INDEX(Table2[Contact Details],MATCH(Table1[[#This Row],[Initiative]],Table2[Initiative],0)))</f>
        <v/>
      </c>
      <c r="E49" s="10" t="str">
        <f>ZeroToBlank(INDEX(Table2[Email ID],MATCH(Table1[[#This Row],[Initiative]],Table2[Initiative],0)))</f>
        <v/>
      </c>
      <c r="F49" s="16" t="s">
        <v>50</v>
      </c>
      <c r="G49" s="8">
        <v>42041</v>
      </c>
      <c r="H49" s="7" t="s">
        <v>125</v>
      </c>
      <c r="I49" s="7"/>
      <c r="J49" s="7"/>
      <c r="K49" s="7"/>
      <c r="L49" s="7"/>
    </row>
    <row r="50" spans="1:12" x14ac:dyDescent="0.3">
      <c r="A50" s="7" t="s">
        <v>123</v>
      </c>
      <c r="B50" s="7" t="str">
        <f>ZeroToBlank(INDEX(Table2[Division],MATCH(Table1[[#This Row],[Initiative]],Table2[Initiative],0)))</f>
        <v>Infra</v>
      </c>
      <c r="C50" s="10" t="str">
        <f>ZeroToBlank(INDEX(Table2[Site],MATCH(Table1[[#This Row],[Initiative]],Table2[Initiative],0)))</f>
        <v/>
      </c>
      <c r="D50" s="9" t="str">
        <f>ZeroToBlank(INDEX(Table2[Contact Details],MATCH(Table1[[#This Row],[Initiative]],Table2[Initiative],0)))</f>
        <v/>
      </c>
      <c r="E50" s="10" t="str">
        <f>ZeroToBlank(INDEX(Table2[Email ID],MATCH(Table1[[#This Row],[Initiative]],Table2[Initiative],0)))</f>
        <v/>
      </c>
      <c r="F50" s="7" t="s">
        <v>50</v>
      </c>
      <c r="G50" s="8">
        <v>42045</v>
      </c>
      <c r="H50" s="7" t="s">
        <v>126</v>
      </c>
      <c r="I50" s="7"/>
      <c r="J50" s="7"/>
      <c r="K50" s="7"/>
      <c r="L50" s="7"/>
    </row>
    <row r="51" spans="1:12" x14ac:dyDescent="0.3">
      <c r="A51" s="7" t="s">
        <v>123</v>
      </c>
      <c r="B51" s="7" t="str">
        <f>ZeroToBlank(INDEX(Table2[Division],MATCH(Table1[[#This Row],[Initiative]],Table2[Initiative],0)))</f>
        <v>Infra</v>
      </c>
      <c r="C51" s="10" t="str">
        <f>ZeroToBlank(INDEX(Table2[Site],MATCH(Table1[[#This Row],[Initiative]],Table2[Initiative],0)))</f>
        <v/>
      </c>
      <c r="D51" s="9" t="str">
        <f>ZeroToBlank(INDEX(Table2[Contact Details],MATCH(Table1[[#This Row],[Initiative]],Table2[Initiative],0)))</f>
        <v/>
      </c>
      <c r="E51" s="10" t="str">
        <f>ZeroToBlank(INDEX(Table2[Email ID],MATCH(Table1[[#This Row],[Initiative]],Table2[Initiative],0)))</f>
        <v/>
      </c>
      <c r="F51" s="7" t="s">
        <v>50</v>
      </c>
      <c r="G51" s="8">
        <v>42045</v>
      </c>
      <c r="H51" s="7" t="s">
        <v>127</v>
      </c>
      <c r="I51" s="7"/>
      <c r="J51" s="7"/>
      <c r="K51" s="7"/>
      <c r="L51" s="7"/>
    </row>
    <row r="52" spans="1:12" x14ac:dyDescent="0.3">
      <c r="A52" s="16" t="s">
        <v>128</v>
      </c>
      <c r="B52" s="16" t="str">
        <f>ZeroToBlank(INDEX(Table2[Division],MATCH(Table1[[#This Row],[Initiative]],Table2[Initiative],0)))</f>
        <v>Infra</v>
      </c>
      <c r="C52" s="17" t="str">
        <f>ZeroToBlank(INDEX(Table2[Site],MATCH(Table1[[#This Row],[Initiative]],Table2[Initiative],0)))</f>
        <v/>
      </c>
      <c r="D52" s="18" t="str">
        <f>ZeroToBlank(INDEX(Table2[Contact Details],MATCH(Table1[[#This Row],[Initiative]],Table2[Initiative],0)))</f>
        <v/>
      </c>
      <c r="E52" s="17" t="str">
        <f>ZeroToBlank(INDEX(Table2[Email ID],MATCH(Table1[[#This Row],[Initiative]],Table2[Initiative],0)))</f>
        <v/>
      </c>
      <c r="F52" s="16" t="s">
        <v>50</v>
      </c>
      <c r="G52" s="19">
        <v>42042</v>
      </c>
      <c r="H52" s="16" t="s">
        <v>129</v>
      </c>
      <c r="I52" s="16"/>
      <c r="J52" s="16"/>
      <c r="K52" s="16"/>
      <c r="L52" s="16"/>
    </row>
    <row r="53" spans="1:12" x14ac:dyDescent="0.3">
      <c r="A53" s="7" t="s">
        <v>128</v>
      </c>
      <c r="B53" s="7" t="str">
        <f>ZeroToBlank(INDEX(Table2[Division],MATCH(Table1[[#This Row],[Initiative]],Table2[Initiative],0)))</f>
        <v>Infra</v>
      </c>
      <c r="C53" s="10" t="str">
        <f>ZeroToBlank(INDEX(Table2[Site],MATCH(Table1[[#This Row],[Initiative]],Table2[Initiative],0)))</f>
        <v/>
      </c>
      <c r="D53" s="9" t="str">
        <f>ZeroToBlank(INDEX(Table2[Contact Details],MATCH(Table1[[#This Row],[Initiative]],Table2[Initiative],0)))</f>
        <v/>
      </c>
      <c r="E53" s="10" t="str">
        <f>ZeroToBlank(INDEX(Table2[Email ID],MATCH(Table1[[#This Row],[Initiative]],Table2[Initiative],0)))</f>
        <v/>
      </c>
      <c r="F53" s="16" t="s">
        <v>50</v>
      </c>
      <c r="G53" s="8">
        <v>42045</v>
      </c>
      <c r="H53" s="7" t="s">
        <v>130</v>
      </c>
      <c r="I53" s="45" t="s">
        <v>131</v>
      </c>
      <c r="J53" s="7"/>
      <c r="K53" s="7"/>
      <c r="L53" s="7"/>
    </row>
    <row r="54" spans="1:12" x14ac:dyDescent="0.3">
      <c r="A54" s="16" t="s">
        <v>128</v>
      </c>
      <c r="B54" s="16" t="str">
        <f>ZeroToBlank(INDEX(Table2[Division],MATCH(Table1[[#This Row],[Initiative]],Table2[Initiative],0)))</f>
        <v>Infra</v>
      </c>
      <c r="C54" s="17" t="str">
        <f>ZeroToBlank(INDEX(Table2[Site],MATCH(Table1[[#This Row],[Initiative]],Table2[Initiative],0)))</f>
        <v/>
      </c>
      <c r="D54" s="18" t="str">
        <f>ZeroToBlank(INDEX(Table2[Contact Details],MATCH(Table1[[#This Row],[Initiative]],Table2[Initiative],0)))</f>
        <v/>
      </c>
      <c r="E54" s="17" t="str">
        <f>ZeroToBlank(INDEX(Table2[Email ID],MATCH(Table1[[#This Row],[Initiative]],Table2[Initiative],0)))</f>
        <v/>
      </c>
      <c r="F54" s="16" t="s">
        <v>51</v>
      </c>
      <c r="G54" s="56">
        <v>42051</v>
      </c>
      <c r="H54" s="16" t="s">
        <v>144</v>
      </c>
      <c r="I54" s="16" t="s">
        <v>143</v>
      </c>
      <c r="J54" s="16"/>
      <c r="K54" s="16"/>
      <c r="L54" s="16"/>
    </row>
    <row r="55" spans="1:12" x14ac:dyDescent="0.3">
      <c r="A55" s="16" t="s">
        <v>128</v>
      </c>
      <c r="B55" s="16" t="str">
        <f>ZeroToBlank(INDEX(Table2[Division],MATCH(Table1[[#This Row],[Initiative]],Table2[Initiative],0)))</f>
        <v>Infra</v>
      </c>
      <c r="C55" s="17" t="str">
        <f>ZeroToBlank(INDEX(Table2[Site],MATCH(Table1[[#This Row],[Initiative]],Table2[Initiative],0)))</f>
        <v/>
      </c>
      <c r="D55" s="18" t="str">
        <f>ZeroToBlank(INDEX(Table2[Contact Details],MATCH(Table1[[#This Row],[Initiative]],Table2[Initiative],0)))</f>
        <v/>
      </c>
      <c r="E55" s="17" t="str">
        <f>ZeroToBlank(INDEX(Table2[Email ID],MATCH(Table1[[#This Row],[Initiative]],Table2[Initiative],0)))</f>
        <v/>
      </c>
      <c r="F55" s="16" t="s">
        <v>51</v>
      </c>
      <c r="G55" s="56">
        <v>42054</v>
      </c>
      <c r="H55" s="16" t="s">
        <v>145</v>
      </c>
      <c r="I55" s="16" t="s">
        <v>146</v>
      </c>
      <c r="J55" s="16"/>
      <c r="K55" s="16"/>
      <c r="L55" s="16"/>
    </row>
    <row r="56" spans="1:12" x14ac:dyDescent="0.3">
      <c r="A56" s="16" t="s">
        <v>15</v>
      </c>
      <c r="B56" s="16" t="str">
        <f>ZeroToBlank(INDEX(Table2[Division],MATCH(Table1[[#This Row],[Initiative]],Table2[Initiative],0)))</f>
        <v>All</v>
      </c>
      <c r="C56" s="17" t="str">
        <f>ZeroToBlank(INDEX(Table2[Site],MATCH(Table1[[#This Row],[Initiative]],Table2[Initiative],0)))</f>
        <v/>
      </c>
      <c r="D56" s="18" t="str">
        <f>ZeroToBlank(INDEX(Table2[Contact Details],MATCH(Table1[[#This Row],[Initiative]],Table2[Initiative],0)))</f>
        <v/>
      </c>
      <c r="E56" s="17" t="str">
        <f>ZeroToBlank(INDEX(Table2[Email ID],MATCH(Table1[[#This Row],[Initiative]],Table2[Initiative],0)))</f>
        <v/>
      </c>
      <c r="F56" s="16" t="s">
        <v>50</v>
      </c>
      <c r="G56" s="56">
        <v>42056</v>
      </c>
      <c r="H56" s="16" t="s">
        <v>147</v>
      </c>
      <c r="I56" s="16"/>
      <c r="J56" s="16"/>
      <c r="K56" s="16"/>
      <c r="L56" s="16"/>
    </row>
    <row r="57" spans="1:12" x14ac:dyDescent="0.3">
      <c r="A57" s="16" t="s">
        <v>123</v>
      </c>
      <c r="B57" s="16" t="str">
        <f>ZeroToBlank(INDEX(Table2[Division],MATCH(Table1[[#This Row],[Initiative]],Table2[Initiative],0)))</f>
        <v>Infra</v>
      </c>
      <c r="C57" s="17" t="str">
        <f>ZeroToBlank(INDEX(Table2[Site],MATCH(Table1[[#This Row],[Initiative]],Table2[Initiative],0)))</f>
        <v/>
      </c>
      <c r="D57" s="18" t="str">
        <f>ZeroToBlank(INDEX(Table2[Contact Details],MATCH(Table1[[#This Row],[Initiative]],Table2[Initiative],0)))</f>
        <v/>
      </c>
      <c r="E57" s="17" t="str">
        <f>ZeroToBlank(INDEX(Table2[Email ID],MATCH(Table1[[#This Row],[Initiative]],Table2[Initiative],0)))</f>
        <v/>
      </c>
      <c r="F57" s="16" t="s">
        <v>50</v>
      </c>
      <c r="G57" s="56">
        <v>42065</v>
      </c>
      <c r="H57" s="16" t="s">
        <v>148</v>
      </c>
      <c r="I57" s="16" t="s">
        <v>149</v>
      </c>
      <c r="J57" s="16"/>
      <c r="K57" s="16"/>
      <c r="L57" s="16"/>
    </row>
    <row r="58" spans="1:12" x14ac:dyDescent="0.3">
      <c r="A58" s="16" t="s">
        <v>123</v>
      </c>
      <c r="B58" s="16" t="str">
        <f>ZeroToBlank(INDEX(Table2[Division],MATCH(Table1[[#This Row],[Initiative]],Table2[Initiative],0)))</f>
        <v>Infra</v>
      </c>
      <c r="C58" s="17" t="str">
        <f>ZeroToBlank(INDEX(Table2[Site],MATCH(Table1[[#This Row],[Initiative]],Table2[Initiative],0)))</f>
        <v/>
      </c>
      <c r="D58" s="18" t="str">
        <f>ZeroToBlank(INDEX(Table2[Contact Details],MATCH(Table1[[#This Row],[Initiative]],Table2[Initiative],0)))</f>
        <v/>
      </c>
      <c r="E58" s="17" t="str">
        <f>ZeroToBlank(INDEX(Table2[Email ID],MATCH(Table1[[#This Row],[Initiative]],Table2[Initiative],0)))</f>
        <v/>
      </c>
      <c r="F58" s="16" t="s">
        <v>50</v>
      </c>
      <c r="G58" s="56">
        <v>42059</v>
      </c>
      <c r="H58" s="16" t="s">
        <v>150</v>
      </c>
      <c r="I58" s="16"/>
      <c r="J58" s="16"/>
      <c r="K58" s="16"/>
      <c r="L58" s="16"/>
    </row>
    <row r="59" spans="1:12" x14ac:dyDescent="0.3">
      <c r="A59" s="16" t="s">
        <v>139</v>
      </c>
      <c r="B59" s="16" t="str">
        <f>ZeroToBlank(INDEX(Table2[Division],MATCH(Table1[[#This Row],[Initiative]],Table2[Initiative],0)))</f>
        <v>Infra</v>
      </c>
      <c r="C59" s="17" t="str">
        <f>ZeroToBlank(INDEX(Table2[Site],MATCH(Table1[[#This Row],[Initiative]],Table2[Initiative],0)))</f>
        <v/>
      </c>
      <c r="D59" s="18" t="str">
        <f>ZeroToBlank(INDEX(Table2[Contact Details],MATCH(Table1[[#This Row],[Initiative]],Table2[Initiative],0)))</f>
        <v/>
      </c>
      <c r="E59" s="17" t="str">
        <f>ZeroToBlank(INDEX(Table2[Email ID],MATCH(Table1[[#This Row],[Initiative]],Table2[Initiative],0)))</f>
        <v/>
      </c>
      <c r="F59" s="16" t="s">
        <v>51</v>
      </c>
      <c r="G59" s="56">
        <v>42040</v>
      </c>
      <c r="H59" s="16" t="s">
        <v>151</v>
      </c>
      <c r="I59" s="16"/>
      <c r="J59" s="16"/>
      <c r="K59" s="16"/>
      <c r="L59" s="16"/>
    </row>
    <row r="60" spans="1:12" x14ac:dyDescent="0.3">
      <c r="A60" s="16" t="s">
        <v>28</v>
      </c>
      <c r="B60" s="16" t="str">
        <f>ZeroToBlank(INDEX(Table2[Division],MATCH(Table1[[#This Row],[Initiative]],Table2[Initiative],0)))</f>
        <v>All</v>
      </c>
      <c r="C60" s="17" t="str">
        <f>ZeroToBlank(INDEX(Table2[Site],MATCH(Table1[[#This Row],[Initiative]],Table2[Initiative],0)))</f>
        <v/>
      </c>
      <c r="D60" s="18" t="str">
        <f>ZeroToBlank(INDEX(Table2[Contact Details],MATCH(Table1[[#This Row],[Initiative]],Table2[Initiative],0)))</f>
        <v/>
      </c>
      <c r="E60" s="17" t="str">
        <f>ZeroToBlank(INDEX(Table2[Email ID],MATCH(Table1[[#This Row],[Initiative]],Table2[Initiative],0)))</f>
        <v/>
      </c>
      <c r="F60" s="16" t="s">
        <v>51</v>
      </c>
      <c r="G60" s="56">
        <v>42065</v>
      </c>
      <c r="H60" s="16" t="s">
        <v>152</v>
      </c>
      <c r="I60" s="16"/>
      <c r="J60" s="16"/>
      <c r="K60" s="16"/>
      <c r="L60" s="16"/>
    </row>
    <row r="61" spans="1:12" x14ac:dyDescent="0.3">
      <c r="A61" s="16" t="s">
        <v>112</v>
      </c>
      <c r="B61" s="16" t="str">
        <f>ZeroToBlank(INDEX(Table2[Division],MATCH(Table1[[#This Row],[Initiative]],Table2[Initiative],0)))</f>
        <v>Infra</v>
      </c>
      <c r="C61" s="17" t="str">
        <f>ZeroToBlank(INDEX(Table2[Site],MATCH(Table1[[#This Row],[Initiative]],Table2[Initiative],0)))</f>
        <v/>
      </c>
      <c r="D61" s="18" t="str">
        <f>ZeroToBlank(INDEX(Table2[Contact Details],MATCH(Table1[[#This Row],[Initiative]],Table2[Initiative],0)))</f>
        <v/>
      </c>
      <c r="E61" s="17" t="str">
        <f>ZeroToBlank(INDEX(Table2[Email ID],MATCH(Table1[[#This Row],[Initiative]],Table2[Initiative],0)))</f>
        <v/>
      </c>
      <c r="F61" s="16" t="s">
        <v>50</v>
      </c>
      <c r="G61" s="56">
        <v>42058</v>
      </c>
      <c r="H61" s="16" t="s">
        <v>153</v>
      </c>
      <c r="I61" s="16"/>
      <c r="J61" s="16"/>
      <c r="K61" s="16"/>
      <c r="L61" s="16"/>
    </row>
    <row r="62" spans="1:12" x14ac:dyDescent="0.3">
      <c r="A62" s="16" t="s">
        <v>142</v>
      </c>
      <c r="B62" s="16" t="str">
        <f>ZeroToBlank(INDEX(Table2[Division],MATCH(Table1[[#This Row],[Initiative]],Table2[Initiative],0)))</f>
        <v>All</v>
      </c>
      <c r="C62" s="17" t="str">
        <f>ZeroToBlank(INDEX(Table2[Site],MATCH(Table1[[#This Row],[Initiative]],Table2[Initiative],0)))</f>
        <v/>
      </c>
      <c r="D62" s="18" t="str">
        <f>ZeroToBlank(INDEX(Table2[Contact Details],MATCH(Table1[[#This Row],[Initiative]],Table2[Initiative],0)))</f>
        <v/>
      </c>
      <c r="E62" s="17" t="str">
        <f>ZeroToBlank(INDEX(Table2[Email ID],MATCH(Table1[[#This Row],[Initiative]],Table2[Initiative],0)))</f>
        <v/>
      </c>
      <c r="F62" s="16" t="s">
        <v>50</v>
      </c>
      <c r="G62" s="56">
        <v>42053</v>
      </c>
      <c r="H62" s="16" t="s">
        <v>154</v>
      </c>
      <c r="I62" s="26" t="s">
        <v>155</v>
      </c>
      <c r="J62" s="16"/>
      <c r="K62" s="16"/>
      <c r="L62" s="16"/>
    </row>
    <row r="63" spans="1:12" x14ac:dyDescent="0.3">
      <c r="A63" s="16" t="s">
        <v>141</v>
      </c>
      <c r="B63" s="16" t="str">
        <f>ZeroToBlank(INDEX(Table2[Division],MATCH(Table1[[#This Row],[Initiative]],Table2[Initiative],0)))</f>
        <v>All</v>
      </c>
      <c r="C63" s="17" t="str">
        <f>ZeroToBlank(INDEX(Table2[Site],MATCH(Table1[[#This Row],[Initiative]],Table2[Initiative],0)))</f>
        <v/>
      </c>
      <c r="D63" s="18" t="str">
        <f>ZeroToBlank(INDEX(Table2[Contact Details],MATCH(Table1[[#This Row],[Initiative]],Table2[Initiative],0)))</f>
        <v/>
      </c>
      <c r="E63" s="17" t="str">
        <f>ZeroToBlank(INDEX(Table2[Email ID],MATCH(Table1[[#This Row],[Initiative]],Table2[Initiative],0)))</f>
        <v/>
      </c>
      <c r="F63" s="16" t="s">
        <v>50</v>
      </c>
      <c r="G63" s="56">
        <v>42052</v>
      </c>
      <c r="H63" s="16" t="s">
        <v>156</v>
      </c>
      <c r="I63" s="16"/>
      <c r="J63" s="16"/>
      <c r="K63" s="16"/>
      <c r="L63" s="16"/>
    </row>
    <row r="64" spans="1:12" x14ac:dyDescent="0.3">
      <c r="A64" s="16" t="s">
        <v>141</v>
      </c>
      <c r="B64" s="16" t="str">
        <f>ZeroToBlank(INDEX(Table2[Division],MATCH(Table1[[#This Row],[Initiative]],Table2[Initiative],0)))</f>
        <v>All</v>
      </c>
      <c r="C64" s="17" t="str">
        <f>ZeroToBlank(INDEX(Table2[Site],MATCH(Table1[[#This Row],[Initiative]],Table2[Initiative],0)))</f>
        <v/>
      </c>
      <c r="D64" s="18" t="str">
        <f>ZeroToBlank(INDEX(Table2[Contact Details],MATCH(Table1[[#This Row],[Initiative]],Table2[Initiative],0)))</f>
        <v/>
      </c>
      <c r="E64" s="17" t="str">
        <f>ZeroToBlank(INDEX(Table2[Email ID],MATCH(Table1[[#This Row],[Initiative]],Table2[Initiative],0)))</f>
        <v/>
      </c>
      <c r="F64" s="16" t="s">
        <v>51</v>
      </c>
      <c r="G64" s="56">
        <v>42053</v>
      </c>
      <c r="H64" s="16" t="s">
        <v>157</v>
      </c>
      <c r="I64" s="26" t="s">
        <v>158</v>
      </c>
      <c r="J64" s="16"/>
      <c r="K64" s="16"/>
      <c r="L64" s="16"/>
    </row>
    <row r="65" spans="1:12" x14ac:dyDescent="0.3">
      <c r="A65" s="16" t="s">
        <v>42</v>
      </c>
      <c r="B65" s="16" t="str">
        <f>ZeroToBlank(INDEX(Table2[Division],MATCH(Table1[[#This Row],[Initiative]],Table2[Initiative],0)))</f>
        <v>Infra</v>
      </c>
      <c r="C65" s="17" t="str">
        <f>ZeroToBlank(INDEX(Table2[Site],MATCH(Table1[[#This Row],[Initiative]],Table2[Initiative],0)))</f>
        <v/>
      </c>
      <c r="D65" s="18" t="str">
        <f>ZeroToBlank(INDEX(Table2[Contact Details],MATCH(Table1[[#This Row],[Initiative]],Table2[Initiative],0)))</f>
        <v/>
      </c>
      <c r="E65" s="17" t="str">
        <f>ZeroToBlank(INDEX(Table2[Email ID],MATCH(Table1[[#This Row],[Initiative]],Table2[Initiative],0)))</f>
        <v/>
      </c>
      <c r="F65" s="16" t="s">
        <v>51</v>
      </c>
      <c r="G65" s="56">
        <v>42028</v>
      </c>
      <c r="H65" s="16" t="s">
        <v>159</v>
      </c>
      <c r="I65" s="16"/>
      <c r="J65" s="16"/>
      <c r="K65" s="16"/>
      <c r="L65" s="16"/>
    </row>
    <row r="66" spans="1:12" x14ac:dyDescent="0.3">
      <c r="A66" s="16" t="s">
        <v>42</v>
      </c>
      <c r="B66" s="16" t="str">
        <f>ZeroToBlank(INDEX(Table2[Division],MATCH(Table1[[#This Row],[Initiative]],Table2[Initiative],0)))</f>
        <v>Infra</v>
      </c>
      <c r="C66" s="17" t="str">
        <f>ZeroToBlank(INDEX(Table2[Site],MATCH(Table1[[#This Row],[Initiative]],Table2[Initiative],0)))</f>
        <v/>
      </c>
      <c r="D66" s="18" t="str">
        <f>ZeroToBlank(INDEX(Table2[Contact Details],MATCH(Table1[[#This Row],[Initiative]],Table2[Initiative],0)))</f>
        <v/>
      </c>
      <c r="E66" s="17" t="str">
        <f>ZeroToBlank(INDEX(Table2[Email ID],MATCH(Table1[[#This Row],[Initiative]],Table2[Initiative],0)))</f>
        <v/>
      </c>
      <c r="F66" s="16" t="s">
        <v>51</v>
      </c>
      <c r="G66" s="56">
        <v>42028</v>
      </c>
      <c r="H66" s="16" t="s">
        <v>160</v>
      </c>
      <c r="I66" s="26" t="s">
        <v>161</v>
      </c>
      <c r="J66" s="16"/>
      <c r="K66" s="16"/>
      <c r="L66" s="16"/>
    </row>
    <row r="67" spans="1:12" x14ac:dyDescent="0.3">
      <c r="A67" s="16" t="s">
        <v>38</v>
      </c>
      <c r="B67" s="16" t="str">
        <f>ZeroToBlank(INDEX(Table2[Division],MATCH(Table1[[#This Row],[Initiative]],Table2[Initiative],0)))</f>
        <v>Infra</v>
      </c>
      <c r="C67" s="17" t="str">
        <f>ZeroToBlank(INDEX(Table2[Site],MATCH(Table1[[#This Row],[Initiative]],Table2[Initiative],0)))</f>
        <v/>
      </c>
      <c r="D67" s="18" t="str">
        <f>ZeroToBlank(INDEX(Table2[Contact Details],MATCH(Table1[[#This Row],[Initiative]],Table2[Initiative],0)))</f>
        <v/>
      </c>
      <c r="E67" s="17" t="str">
        <f>ZeroToBlank(INDEX(Table2[Email ID],MATCH(Table1[[#This Row],[Initiative]],Table2[Initiative],0)))</f>
        <v/>
      </c>
      <c r="F67" s="16" t="s">
        <v>51</v>
      </c>
      <c r="G67" s="56">
        <v>42056</v>
      </c>
      <c r="H67" s="16" t="s">
        <v>162</v>
      </c>
      <c r="I67" s="16"/>
      <c r="J67" s="16"/>
      <c r="K67" s="16"/>
      <c r="L67" s="16"/>
    </row>
    <row r="68" spans="1:12" x14ac:dyDescent="0.3">
      <c r="A68" s="16" t="s">
        <v>172</v>
      </c>
      <c r="B68" s="16" t="str">
        <f>ZeroToBlank(INDEX(Table2[Division],MATCH(Table1[[#This Row],[Initiative]],Table2[Initiative],0)))</f>
        <v>All</v>
      </c>
      <c r="C68" s="17" t="str">
        <f>ZeroToBlank(INDEX(Table2[Site],MATCH(Table1[[#This Row],[Initiative]],Table2[Initiative],0)))</f>
        <v/>
      </c>
      <c r="D68" s="18" t="str">
        <f>ZeroToBlank(INDEX(Table2[Contact Details],MATCH(Table1[[#This Row],[Initiative]],Table2[Initiative],0)))</f>
        <v/>
      </c>
      <c r="E68" s="17" t="str">
        <f>ZeroToBlank(INDEX(Table2[Email ID],MATCH(Table1[[#This Row],[Initiative]],Table2[Initiative],0)))</f>
        <v/>
      </c>
      <c r="F68" s="16" t="s">
        <v>50</v>
      </c>
      <c r="G68" s="56">
        <v>42058</v>
      </c>
      <c r="H68" s="16" t="s">
        <v>163</v>
      </c>
      <c r="I68" s="26" t="s">
        <v>164</v>
      </c>
      <c r="J68" s="16"/>
      <c r="K68" s="16"/>
      <c r="L68" s="16"/>
    </row>
    <row r="69" spans="1:12" x14ac:dyDescent="0.3">
      <c r="A69" s="16" t="s">
        <v>95</v>
      </c>
      <c r="B69" s="16" t="str">
        <f>ZeroToBlank(INDEX(Table2[Division],MATCH(Table1[[#This Row],[Initiative]],Table2[Initiative],0)))</f>
        <v>Nilga</v>
      </c>
      <c r="C69" s="17" t="str">
        <f>ZeroToBlank(INDEX(Table2[Site],MATCH(Table1[[#This Row],[Initiative]],Table2[Initiative],0)))</f>
        <v/>
      </c>
      <c r="D69" s="18" t="str">
        <f>ZeroToBlank(INDEX(Table2[Contact Details],MATCH(Table1[[#This Row],[Initiative]],Table2[Initiative],0)))</f>
        <v/>
      </c>
      <c r="E69" s="17" t="str">
        <f>ZeroToBlank(INDEX(Table2[Email ID],MATCH(Table1[[#This Row],[Initiative]],Table2[Initiative],0)))</f>
        <v/>
      </c>
      <c r="F69" s="16" t="s">
        <v>51</v>
      </c>
      <c r="G69" s="56">
        <v>42058</v>
      </c>
      <c r="H69" s="16" t="s">
        <v>166</v>
      </c>
      <c r="I69" s="16"/>
      <c r="J69" s="16"/>
      <c r="K69" s="16"/>
      <c r="L69" s="16"/>
    </row>
    <row r="70" spans="1:12" x14ac:dyDescent="0.3">
      <c r="A70" s="16" t="s">
        <v>140</v>
      </c>
      <c r="B70" s="16" t="str">
        <f>ZeroToBlank(INDEX(Table2[Division],MATCH(Table1[[#This Row],[Initiative]],Table2[Initiative],0)))</f>
        <v>All</v>
      </c>
      <c r="C70" s="17" t="str">
        <f>ZeroToBlank(INDEX(Table2[Site],MATCH(Table1[[#This Row],[Initiative]],Table2[Initiative],0)))</f>
        <v/>
      </c>
      <c r="D70" s="18" t="str">
        <f>ZeroToBlank(INDEX(Table2[Contact Details],MATCH(Table1[[#This Row],[Initiative]],Table2[Initiative],0)))</f>
        <v/>
      </c>
      <c r="E70" s="17" t="str">
        <f>ZeroToBlank(INDEX(Table2[Email ID],MATCH(Table1[[#This Row],[Initiative]],Table2[Initiative],0)))</f>
        <v/>
      </c>
      <c r="F70" s="16" t="s">
        <v>50</v>
      </c>
      <c r="G70" s="56">
        <v>42049</v>
      </c>
      <c r="H70" s="16" t="s">
        <v>167</v>
      </c>
      <c r="I70" s="16"/>
      <c r="J70" s="16"/>
      <c r="K70" s="16"/>
      <c r="L70" s="16"/>
    </row>
    <row r="71" spans="1:12" x14ac:dyDescent="0.3">
      <c r="A71" s="16" t="s">
        <v>17</v>
      </c>
      <c r="B71" s="16" t="str">
        <f>ZeroToBlank(INDEX(Table2[Division],MATCH(Table1[[#This Row],[Initiative]],Table2[Initiative],0)))</f>
        <v>Drummella</v>
      </c>
      <c r="C71" s="17" t="str">
        <f>ZeroToBlank(INDEX(Table2[Site],MATCH(Table1[[#This Row],[Initiative]],Table2[Initiative],0)))</f>
        <v/>
      </c>
      <c r="D71" s="18" t="str">
        <f>ZeroToBlank(INDEX(Table2[Contact Details],MATCH(Table1[[#This Row],[Initiative]],Table2[Initiative],0)))</f>
        <v/>
      </c>
      <c r="E71" s="17" t="str">
        <f>ZeroToBlank(INDEX(Table2[Email ID],MATCH(Table1[[#This Row],[Initiative]],Table2[Initiative],0)))</f>
        <v/>
      </c>
      <c r="F71" s="16" t="s">
        <v>50</v>
      </c>
      <c r="G71" s="56">
        <v>42058</v>
      </c>
      <c r="H71" s="16" t="s">
        <v>168</v>
      </c>
      <c r="I71" s="16"/>
      <c r="J71" s="16"/>
      <c r="K71" s="16"/>
      <c r="L71" s="16"/>
    </row>
    <row r="72" spans="1:12" x14ac:dyDescent="0.3">
      <c r="A72" s="16" t="s">
        <v>17</v>
      </c>
      <c r="B72" s="16" t="str">
        <f>ZeroToBlank(INDEX(Table2[Division],MATCH(Table1[[#This Row],[Initiative]],Table2[Initiative],0)))</f>
        <v>Drummella</v>
      </c>
      <c r="C72" s="17" t="str">
        <f>ZeroToBlank(INDEX(Table2[Site],MATCH(Table1[[#This Row],[Initiative]],Table2[Initiative],0)))</f>
        <v/>
      </c>
      <c r="D72" s="18" t="str">
        <f>ZeroToBlank(INDEX(Table2[Contact Details],MATCH(Table1[[#This Row],[Initiative]],Table2[Initiative],0)))</f>
        <v/>
      </c>
      <c r="E72" s="17" t="str">
        <f>ZeroToBlank(INDEX(Table2[Email ID],MATCH(Table1[[#This Row],[Initiative]],Table2[Initiative],0)))</f>
        <v/>
      </c>
      <c r="F72" s="16" t="s">
        <v>50</v>
      </c>
      <c r="G72" s="56">
        <v>42059</v>
      </c>
      <c r="H72" s="16" t="s">
        <v>169</v>
      </c>
      <c r="I72" s="16"/>
      <c r="J72" s="16"/>
      <c r="K72" s="16"/>
      <c r="L72" s="16"/>
    </row>
    <row r="73" spans="1:12" x14ac:dyDescent="0.3">
      <c r="A73" s="16" t="s">
        <v>17</v>
      </c>
      <c r="B73" s="16" t="str">
        <f>ZeroToBlank(INDEX(Table2[Division],MATCH(Table1[[#This Row],[Initiative]],Table2[Initiative],0)))</f>
        <v>Drummella</v>
      </c>
      <c r="C73" s="17" t="str">
        <f>ZeroToBlank(INDEX(Table2[Site],MATCH(Table1[[#This Row],[Initiative]],Table2[Initiative],0)))</f>
        <v/>
      </c>
      <c r="D73" s="18" t="str">
        <f>ZeroToBlank(INDEX(Table2[Contact Details],MATCH(Table1[[#This Row],[Initiative]],Table2[Initiative],0)))</f>
        <v/>
      </c>
      <c r="E73" s="17" t="str">
        <f>ZeroToBlank(INDEX(Table2[Email ID],MATCH(Table1[[#This Row],[Initiative]],Table2[Initiative],0)))</f>
        <v/>
      </c>
      <c r="F73" s="16" t="s">
        <v>50</v>
      </c>
      <c r="G73" s="56">
        <v>42037</v>
      </c>
      <c r="H73" s="16" t="s">
        <v>170</v>
      </c>
      <c r="I73" s="16"/>
      <c r="J73" s="16"/>
      <c r="K73" s="16"/>
      <c r="L73" s="16"/>
    </row>
    <row r="74" spans="1:12" x14ac:dyDescent="0.3">
      <c r="A74" s="16" t="s">
        <v>30</v>
      </c>
      <c r="B74" s="16" t="str">
        <f>ZeroToBlank(INDEX(Table2[Division],MATCH(Table1[[#This Row],[Initiative]],Table2[Initiative],0)))</f>
        <v>Infra</v>
      </c>
      <c r="C74" s="17" t="str">
        <f>ZeroToBlank(INDEX(Table2[Site],MATCH(Table1[[#This Row],[Initiative]],Table2[Initiative],0)))</f>
        <v/>
      </c>
      <c r="D74" s="18" t="str">
        <f>ZeroToBlank(INDEX(Table2[Contact Details],MATCH(Table1[[#This Row],[Initiative]],Table2[Initiative],0)))</f>
        <v/>
      </c>
      <c r="E74" s="17" t="str">
        <f>ZeroToBlank(INDEX(Table2[Email ID],MATCH(Table1[[#This Row],[Initiative]],Table2[Initiative],0)))</f>
        <v/>
      </c>
      <c r="F74" s="16" t="s">
        <v>50</v>
      </c>
      <c r="G74" s="56">
        <v>42058</v>
      </c>
      <c r="H74" s="16" t="s">
        <v>171</v>
      </c>
      <c r="I74" s="16"/>
      <c r="J74" s="16"/>
      <c r="K74" s="16"/>
      <c r="L74" s="16"/>
    </row>
    <row r="75" spans="1:12" x14ac:dyDescent="0.3">
      <c r="A75" s="16" t="s">
        <v>36</v>
      </c>
      <c r="B75" s="16" t="str">
        <f>ZeroToBlank(INDEX(Table2[Division],MATCH(Table1[[#This Row],[Initiative]],Table2[Initiative],0)))</f>
        <v>Nilga</v>
      </c>
      <c r="C75" s="17" t="str">
        <f>ZeroToBlank(INDEX(Table2[Site],MATCH(Table1[[#This Row],[Initiative]],Table2[Initiative],0)))</f>
        <v/>
      </c>
      <c r="D75" s="18" t="str">
        <f>ZeroToBlank(INDEX(Table2[Contact Details],MATCH(Table1[[#This Row],[Initiative]],Table2[Initiative],0)))</f>
        <v/>
      </c>
      <c r="E75" s="17" t="str">
        <f>ZeroToBlank(INDEX(Table2[Email ID],MATCH(Table1[[#This Row],[Initiative]],Table2[Initiative],0)))</f>
        <v/>
      </c>
      <c r="F75" s="16" t="s">
        <v>50</v>
      </c>
      <c r="G75" s="56">
        <v>42056</v>
      </c>
      <c r="H75" s="16" t="s">
        <v>173</v>
      </c>
      <c r="I75" s="16"/>
      <c r="J75" s="16"/>
      <c r="K75" s="16"/>
      <c r="L75" s="16"/>
    </row>
    <row r="76" spans="1:12" x14ac:dyDescent="0.3">
      <c r="A76" s="16" t="s">
        <v>36</v>
      </c>
      <c r="B76" s="16" t="str">
        <f>ZeroToBlank(INDEX(Table2[Division],MATCH(Table1[[#This Row],[Initiative]],Table2[Initiative],0)))</f>
        <v>Nilga</v>
      </c>
      <c r="C76" s="17" t="str">
        <f>ZeroToBlank(INDEX(Table2[Site],MATCH(Table1[[#This Row],[Initiative]],Table2[Initiative],0)))</f>
        <v/>
      </c>
      <c r="D76" s="18" t="str">
        <f>ZeroToBlank(INDEX(Table2[Contact Details],MATCH(Table1[[#This Row],[Initiative]],Table2[Initiative],0)))</f>
        <v/>
      </c>
      <c r="E76" s="17" t="str">
        <f>ZeroToBlank(INDEX(Table2[Email ID],MATCH(Table1[[#This Row],[Initiative]],Table2[Initiative],0)))</f>
        <v/>
      </c>
      <c r="F76" s="16" t="s">
        <v>50</v>
      </c>
      <c r="G76" s="56">
        <v>42065</v>
      </c>
      <c r="H76" s="16" t="s">
        <v>174</v>
      </c>
      <c r="I76" s="16"/>
      <c r="J76" s="16"/>
      <c r="K76" s="16"/>
      <c r="L76" s="16"/>
    </row>
    <row r="77" spans="1:12" x14ac:dyDescent="0.3">
      <c r="A77" s="16" t="s">
        <v>138</v>
      </c>
      <c r="B77" s="16" t="str">
        <f>ZeroToBlank(INDEX(Table2[Division],MATCH(Table1[[#This Row],[Initiative]],Table2[Initiative],0)))</f>
        <v>Nilga</v>
      </c>
      <c r="C77" s="17" t="str">
        <f>ZeroToBlank(INDEX(Table2[Site],MATCH(Table1[[#This Row],[Initiative]],Table2[Initiative],0)))</f>
        <v/>
      </c>
      <c r="D77" s="18" t="str">
        <f>ZeroToBlank(INDEX(Table2[Contact Details],MATCH(Table1[[#This Row],[Initiative]],Table2[Initiative],0)))</f>
        <v/>
      </c>
      <c r="E77" s="17" t="str">
        <f>ZeroToBlank(INDEX(Table2[Email ID],MATCH(Table1[[#This Row],[Initiative]],Table2[Initiative],0)))</f>
        <v/>
      </c>
      <c r="F77" s="16" t="s">
        <v>50</v>
      </c>
      <c r="G77" s="56">
        <v>42063</v>
      </c>
      <c r="H77" s="16" t="s">
        <v>175</v>
      </c>
      <c r="I77" s="16"/>
      <c r="J77" s="16"/>
      <c r="K77" s="16"/>
      <c r="L77" s="16"/>
    </row>
    <row r="78" spans="1:12" x14ac:dyDescent="0.3">
      <c r="A78" s="16" t="s">
        <v>176</v>
      </c>
      <c r="B78" s="16" t="str">
        <f>ZeroToBlank(INDEX(Table2[Division],MATCH(Table1[[#This Row],[Initiative]],Table2[Initiative],0)))</f>
        <v>Infra</v>
      </c>
      <c r="C78" s="17" t="str">
        <f>ZeroToBlank(INDEX(Table2[Site],MATCH(Table1[[#This Row],[Initiative]],Table2[Initiative],0)))</f>
        <v/>
      </c>
      <c r="D78" s="18" t="str">
        <f>ZeroToBlank(INDEX(Table2[Contact Details],MATCH(Table1[[#This Row],[Initiative]],Table2[Initiative],0)))</f>
        <v/>
      </c>
      <c r="E78" s="17" t="str">
        <f>ZeroToBlank(INDEX(Table2[Email ID],MATCH(Table1[[#This Row],[Initiative]],Table2[Initiative],0)))</f>
        <v/>
      </c>
      <c r="F78" s="16" t="s">
        <v>50</v>
      </c>
      <c r="G78" s="56">
        <v>42075</v>
      </c>
      <c r="H78" s="16" t="s">
        <v>177</v>
      </c>
      <c r="I78" s="16"/>
      <c r="J78" s="16"/>
      <c r="K78" s="16"/>
      <c r="L78" s="16"/>
    </row>
    <row r="79" spans="1:12" x14ac:dyDescent="0.3">
      <c r="A79" s="16" t="s">
        <v>112</v>
      </c>
      <c r="B79" s="16" t="str">
        <f>ZeroToBlank(INDEX(Table2[Division],MATCH(Table1[[#This Row],[Initiative]],Table2[Initiative],0)))</f>
        <v>Infra</v>
      </c>
      <c r="C79" s="17" t="str">
        <f>ZeroToBlank(INDEX(Table2[Site],MATCH(Table1[[#This Row],[Initiative]],Table2[Initiative],0)))</f>
        <v/>
      </c>
      <c r="D79" s="18" t="str">
        <f>ZeroToBlank(INDEX(Table2[Contact Details],MATCH(Table1[[#This Row],[Initiative]],Table2[Initiative],0)))</f>
        <v/>
      </c>
      <c r="E79" s="17" t="str">
        <f>ZeroToBlank(INDEX(Table2[Email ID],MATCH(Table1[[#This Row],[Initiative]],Table2[Initiative],0)))</f>
        <v/>
      </c>
      <c r="F79" s="16" t="s">
        <v>50</v>
      </c>
      <c r="G79" s="56">
        <v>42073</v>
      </c>
      <c r="H79" s="16" t="s">
        <v>178</v>
      </c>
      <c r="I79" s="16"/>
      <c r="J79" s="16"/>
      <c r="K79" s="16"/>
      <c r="L79" s="16"/>
    </row>
    <row r="80" spans="1:12" x14ac:dyDescent="0.3">
      <c r="A80" s="16" t="s">
        <v>112</v>
      </c>
      <c r="B80" s="16" t="str">
        <f>ZeroToBlank(INDEX(Table2[Division],MATCH(Table1[[#This Row],[Initiative]],Table2[Initiative],0)))</f>
        <v>Infra</v>
      </c>
      <c r="C80" s="17" t="str">
        <f>ZeroToBlank(INDEX(Table2[Site],MATCH(Table1[[#This Row],[Initiative]],Table2[Initiative],0)))</f>
        <v/>
      </c>
      <c r="D80" s="18" t="str">
        <f>ZeroToBlank(INDEX(Table2[Contact Details],MATCH(Table1[[#This Row],[Initiative]],Table2[Initiative],0)))</f>
        <v/>
      </c>
      <c r="E80" s="17" t="str">
        <f>ZeroToBlank(INDEX(Table2[Email ID],MATCH(Table1[[#This Row],[Initiative]],Table2[Initiative],0)))</f>
        <v/>
      </c>
      <c r="F80" s="16" t="s">
        <v>50</v>
      </c>
      <c r="G80" s="56">
        <v>42075</v>
      </c>
      <c r="H80" s="16" t="s">
        <v>179</v>
      </c>
      <c r="I80" s="16"/>
      <c r="J80" s="16"/>
      <c r="K80" s="16"/>
      <c r="L80" s="16"/>
    </row>
    <row r="81" spans="1:12" x14ac:dyDescent="0.3">
      <c r="A81" s="16" t="s">
        <v>180</v>
      </c>
      <c r="B81" s="16" t="str">
        <f>ZeroToBlank(INDEX(Table2[Division],MATCH(Table1[[#This Row],[Initiative]],Table2[Initiative],0)))</f>
        <v>All</v>
      </c>
      <c r="C81" s="17" t="str">
        <f>ZeroToBlank(INDEX(Table2[Site],MATCH(Table1[[#This Row],[Initiative]],Table2[Initiative],0)))</f>
        <v/>
      </c>
      <c r="D81" s="18" t="str">
        <f>ZeroToBlank(INDEX(Table2[Contact Details],MATCH(Table1[[#This Row],[Initiative]],Table2[Initiative],0)))</f>
        <v/>
      </c>
      <c r="E81" s="17" t="str">
        <f>ZeroToBlank(INDEX(Table2[Email ID],MATCH(Table1[[#This Row],[Initiative]],Table2[Initiative],0)))</f>
        <v/>
      </c>
      <c r="F81" s="16" t="s">
        <v>50</v>
      </c>
      <c r="G81" s="56">
        <v>42072</v>
      </c>
      <c r="H81" s="16" t="s">
        <v>181</v>
      </c>
      <c r="I81" s="16"/>
      <c r="J81" s="16"/>
      <c r="K81" s="16"/>
      <c r="L81" s="16"/>
    </row>
    <row r="82" spans="1:12" x14ac:dyDescent="0.3">
      <c r="A82" s="16" t="s">
        <v>180</v>
      </c>
      <c r="B82" s="16" t="str">
        <f>ZeroToBlank(INDEX(Table2[Division],MATCH(Table1[[#This Row],[Initiative]],Table2[Initiative],0)))</f>
        <v>All</v>
      </c>
      <c r="C82" s="17" t="str">
        <f>ZeroToBlank(INDEX(Table2[Site],MATCH(Table1[[#This Row],[Initiative]],Table2[Initiative],0)))</f>
        <v/>
      </c>
      <c r="D82" s="18" t="str">
        <f>ZeroToBlank(INDEX(Table2[Contact Details],MATCH(Table1[[#This Row],[Initiative]],Table2[Initiative],0)))</f>
        <v/>
      </c>
      <c r="E82" s="17" t="str">
        <f>ZeroToBlank(INDEX(Table2[Email ID],MATCH(Table1[[#This Row],[Initiative]],Table2[Initiative],0)))</f>
        <v/>
      </c>
      <c r="F82" s="16" t="s">
        <v>50</v>
      </c>
      <c r="G82" s="56">
        <v>42072</v>
      </c>
      <c r="H82" s="16" t="s">
        <v>182</v>
      </c>
      <c r="I82" s="16"/>
      <c r="J82" s="16"/>
      <c r="K82" s="16"/>
      <c r="L82" s="16"/>
    </row>
    <row r="83" spans="1:12" x14ac:dyDescent="0.3">
      <c r="A83" s="16" t="s">
        <v>183</v>
      </c>
      <c r="B83" s="16" t="str">
        <f>ZeroToBlank(INDEX(Table2[Division],MATCH(Table1[[#This Row],[Initiative]],Table2[Initiative],0)))</f>
        <v>Infra</v>
      </c>
      <c r="C83" s="17" t="str">
        <f>ZeroToBlank(INDEX(Table2[Site],MATCH(Table1[[#This Row],[Initiative]],Table2[Initiative],0)))</f>
        <v/>
      </c>
      <c r="D83" s="18" t="str">
        <f>ZeroToBlank(INDEX(Table2[Contact Details],MATCH(Table1[[#This Row],[Initiative]],Table2[Initiative],0)))</f>
        <v/>
      </c>
      <c r="E83" s="17" t="str">
        <f>ZeroToBlank(INDEX(Table2[Email ID],MATCH(Table1[[#This Row],[Initiative]],Table2[Initiative],0)))</f>
        <v/>
      </c>
      <c r="F83" s="16" t="s">
        <v>50</v>
      </c>
      <c r="G83" s="56">
        <v>42072</v>
      </c>
      <c r="H83" s="16" t="s">
        <v>184</v>
      </c>
      <c r="I83" s="16"/>
      <c r="J83" s="16"/>
      <c r="K83" s="16"/>
      <c r="L83" s="16"/>
    </row>
    <row r="84" spans="1:12" x14ac:dyDescent="0.3">
      <c r="A84" s="16" t="s">
        <v>183</v>
      </c>
      <c r="B84" s="16" t="str">
        <f>ZeroToBlank(INDEX(Table2[Division],MATCH(Table1[[#This Row],[Initiative]],Table2[Initiative],0)))</f>
        <v>Infra</v>
      </c>
      <c r="C84" s="17" t="str">
        <f>ZeroToBlank(INDEX(Table2[Site],MATCH(Table1[[#This Row],[Initiative]],Table2[Initiative],0)))</f>
        <v/>
      </c>
      <c r="D84" s="18" t="str">
        <f>ZeroToBlank(INDEX(Table2[Contact Details],MATCH(Table1[[#This Row],[Initiative]],Table2[Initiative],0)))</f>
        <v/>
      </c>
      <c r="E84" s="17" t="str">
        <f>ZeroToBlank(INDEX(Table2[Email ID],MATCH(Table1[[#This Row],[Initiative]],Table2[Initiative],0)))</f>
        <v/>
      </c>
      <c r="F84" s="16" t="s">
        <v>50</v>
      </c>
      <c r="G84" s="56">
        <v>42074</v>
      </c>
      <c r="H84" s="16" t="s">
        <v>185</v>
      </c>
      <c r="I84" s="16"/>
      <c r="J84" s="16"/>
      <c r="K84" s="16"/>
      <c r="L84" s="16"/>
    </row>
    <row r="85" spans="1:12" x14ac:dyDescent="0.3">
      <c r="A85" s="16" t="s">
        <v>186</v>
      </c>
      <c r="B85" s="16" t="str">
        <f>ZeroToBlank(INDEX(Table2[Division],MATCH(Table1[[#This Row],[Initiative]],Table2[Initiative],0)))</f>
        <v>Infra</v>
      </c>
      <c r="C85" s="17" t="str">
        <f>ZeroToBlank(INDEX(Table2[Site],MATCH(Table1[[#This Row],[Initiative]],Table2[Initiative],0)))</f>
        <v/>
      </c>
      <c r="D85" s="18" t="str">
        <f>ZeroToBlank(INDEX(Table2[Contact Details],MATCH(Table1[[#This Row],[Initiative]],Table2[Initiative],0)))</f>
        <v/>
      </c>
      <c r="E85" s="17" t="str">
        <f>ZeroToBlank(INDEX(Table2[Email ID],MATCH(Table1[[#This Row],[Initiative]],Table2[Initiative],0)))</f>
        <v/>
      </c>
      <c r="F85" s="16" t="s">
        <v>50</v>
      </c>
      <c r="G85" s="56">
        <v>42074</v>
      </c>
      <c r="H85" s="16" t="s">
        <v>187</v>
      </c>
      <c r="I85" s="16"/>
      <c r="J85" s="16"/>
      <c r="K85" s="16"/>
      <c r="L85" s="16"/>
    </row>
    <row r="86" spans="1:12" x14ac:dyDescent="0.3">
      <c r="A86" s="16" t="s">
        <v>186</v>
      </c>
      <c r="B86" s="16" t="str">
        <f>ZeroToBlank(INDEX(Table2[Division],MATCH(Table1[[#This Row],[Initiative]],Table2[Initiative],0)))</f>
        <v>Infra</v>
      </c>
      <c r="C86" s="17" t="str">
        <f>ZeroToBlank(INDEX(Table2[Site],MATCH(Table1[[#This Row],[Initiative]],Table2[Initiative],0)))</f>
        <v/>
      </c>
      <c r="D86" s="18" t="str">
        <f>ZeroToBlank(INDEX(Table2[Contact Details],MATCH(Table1[[#This Row],[Initiative]],Table2[Initiative],0)))</f>
        <v/>
      </c>
      <c r="E86" s="17" t="str">
        <f>ZeroToBlank(INDEX(Table2[Email ID],MATCH(Table1[[#This Row],[Initiative]],Table2[Initiative],0)))</f>
        <v/>
      </c>
      <c r="F86" s="16" t="s">
        <v>50</v>
      </c>
      <c r="G86" s="56">
        <v>42074</v>
      </c>
      <c r="H86" s="16" t="s">
        <v>188</v>
      </c>
      <c r="I86" s="16"/>
      <c r="J86" s="16"/>
      <c r="K86" s="16"/>
      <c r="L86" s="16"/>
    </row>
    <row r="87" spans="1:12" x14ac:dyDescent="0.3">
      <c r="A87" s="16" t="s">
        <v>186</v>
      </c>
      <c r="B87" s="16" t="str">
        <f>ZeroToBlank(INDEX(Table2[Division],MATCH(Table1[[#This Row],[Initiative]],Table2[Initiative],0)))</f>
        <v>Infra</v>
      </c>
      <c r="C87" s="17" t="str">
        <f>ZeroToBlank(INDEX(Table2[Site],MATCH(Table1[[#This Row],[Initiative]],Table2[Initiative],0)))</f>
        <v/>
      </c>
      <c r="D87" s="18" t="str">
        <f>ZeroToBlank(INDEX(Table2[Contact Details],MATCH(Table1[[#This Row],[Initiative]],Table2[Initiative],0)))</f>
        <v/>
      </c>
      <c r="E87" s="17" t="str">
        <f>ZeroToBlank(INDEX(Table2[Email ID],MATCH(Table1[[#This Row],[Initiative]],Table2[Initiative],0)))</f>
        <v/>
      </c>
      <c r="F87" s="16" t="s">
        <v>50</v>
      </c>
      <c r="G87" s="56">
        <v>42074</v>
      </c>
      <c r="H87" s="16" t="s">
        <v>189</v>
      </c>
      <c r="I87" s="16"/>
      <c r="J87" s="16"/>
      <c r="K87" s="16"/>
      <c r="L87" s="16"/>
    </row>
    <row r="88" spans="1:12" x14ac:dyDescent="0.3">
      <c r="A88" s="16" t="s">
        <v>190</v>
      </c>
      <c r="B88" s="16" t="str">
        <f>ZeroToBlank(INDEX(Table2[Division],MATCH(Table1[[#This Row],[Initiative]],Table2[Initiative],0)))</f>
        <v>Infra</v>
      </c>
      <c r="C88" s="17" t="str">
        <f>ZeroToBlank(INDEX(Table2[Site],MATCH(Table1[[#This Row],[Initiative]],Table2[Initiative],0)))</f>
        <v/>
      </c>
      <c r="D88" s="18" t="str">
        <f>ZeroToBlank(INDEX(Table2[Contact Details],MATCH(Table1[[#This Row],[Initiative]],Table2[Initiative],0)))</f>
        <v/>
      </c>
      <c r="E88" s="17" t="str">
        <f>ZeroToBlank(INDEX(Table2[Email ID],MATCH(Table1[[#This Row],[Initiative]],Table2[Initiative],0)))</f>
        <v/>
      </c>
      <c r="F88" s="16" t="s">
        <v>50</v>
      </c>
      <c r="G88" s="56">
        <v>42074</v>
      </c>
      <c r="H88" s="16" t="s">
        <v>191</v>
      </c>
      <c r="I88" s="16"/>
      <c r="J88" s="16"/>
      <c r="K88" s="16"/>
      <c r="L88" s="16"/>
    </row>
    <row r="89" spans="1:12" x14ac:dyDescent="0.3">
      <c r="A89" s="16" t="s">
        <v>190</v>
      </c>
      <c r="B89" s="16" t="str">
        <f>ZeroToBlank(INDEX(Table2[Division],MATCH(Table1[[#This Row],[Initiative]],Table2[Initiative],0)))</f>
        <v>Infra</v>
      </c>
      <c r="C89" s="17" t="str">
        <f>ZeroToBlank(INDEX(Table2[Site],MATCH(Table1[[#This Row],[Initiative]],Table2[Initiative],0)))</f>
        <v/>
      </c>
      <c r="D89" s="18" t="str">
        <f>ZeroToBlank(INDEX(Table2[Contact Details],MATCH(Table1[[#This Row],[Initiative]],Table2[Initiative],0)))</f>
        <v/>
      </c>
      <c r="E89" s="17" t="str">
        <f>ZeroToBlank(INDEX(Table2[Email ID],MATCH(Table1[[#This Row],[Initiative]],Table2[Initiative],0)))</f>
        <v/>
      </c>
      <c r="F89" s="16" t="s">
        <v>50</v>
      </c>
      <c r="G89" s="56">
        <v>42075</v>
      </c>
      <c r="H89" s="16" t="s">
        <v>192</v>
      </c>
      <c r="I89" s="16"/>
      <c r="J89" s="16"/>
      <c r="K89" s="16"/>
      <c r="L89" s="16"/>
    </row>
    <row r="90" spans="1:12" x14ac:dyDescent="0.3">
      <c r="A90" s="16" t="s">
        <v>193</v>
      </c>
      <c r="B90" s="16" t="str">
        <f>ZeroToBlank(INDEX(Table2[Division],MATCH(Table1[[#This Row],[Initiative]],Table2[Initiative],0)))</f>
        <v>Infra</v>
      </c>
      <c r="C90" s="17" t="str">
        <f>ZeroToBlank(INDEX(Table2[Site],MATCH(Table1[[#This Row],[Initiative]],Table2[Initiative],0)))</f>
        <v/>
      </c>
      <c r="D90" s="18" t="str">
        <f>ZeroToBlank(INDEX(Table2[Contact Details],MATCH(Table1[[#This Row],[Initiative]],Table2[Initiative],0)))</f>
        <v/>
      </c>
      <c r="E90" s="17" t="str">
        <f>ZeroToBlank(INDEX(Table2[Email ID],MATCH(Table1[[#This Row],[Initiative]],Table2[Initiative],0)))</f>
        <v/>
      </c>
      <c r="F90" s="16" t="s">
        <v>50</v>
      </c>
      <c r="G90" s="56">
        <v>42073</v>
      </c>
      <c r="H90" s="16" t="s">
        <v>194</v>
      </c>
      <c r="I90" s="16"/>
      <c r="J90" s="16"/>
      <c r="K90" s="16"/>
      <c r="L90" s="16"/>
    </row>
    <row r="91" spans="1:12" x14ac:dyDescent="0.3">
      <c r="A91" s="16" t="s">
        <v>176</v>
      </c>
      <c r="B91" s="16" t="str">
        <f>ZeroToBlank(INDEX(Table2[Division],MATCH(Table1[[#This Row],[Initiative]],Table2[Initiative],0)))</f>
        <v>Infra</v>
      </c>
      <c r="C91" s="17" t="str">
        <f>ZeroToBlank(INDEX(Table2[Site],MATCH(Table1[[#This Row],[Initiative]],Table2[Initiative],0)))</f>
        <v/>
      </c>
      <c r="D91" s="18" t="str">
        <f>ZeroToBlank(INDEX(Table2[Contact Details],MATCH(Table1[[#This Row],[Initiative]],Table2[Initiative],0)))</f>
        <v/>
      </c>
      <c r="E91" s="17" t="str">
        <f>ZeroToBlank(INDEX(Table2[Email ID],MATCH(Table1[[#This Row],[Initiative]],Table2[Initiative],0)))</f>
        <v/>
      </c>
      <c r="F91" s="16" t="s">
        <v>51</v>
      </c>
      <c r="G91" s="56">
        <v>42080</v>
      </c>
      <c r="H91" s="16" t="s">
        <v>195</v>
      </c>
      <c r="I91" s="16"/>
      <c r="J91" s="16"/>
      <c r="K91" s="16"/>
      <c r="L91" s="16"/>
    </row>
    <row r="92" spans="1:12" x14ac:dyDescent="0.3">
      <c r="A92" s="7" t="s">
        <v>128</v>
      </c>
      <c r="B92" s="7" t="str">
        <f>ZeroToBlank(INDEX(Table2[Division],MATCH(Table1[[#This Row],[Initiative]],Table2[Initiative],0)))</f>
        <v>Infra</v>
      </c>
      <c r="C92" s="10" t="str">
        <f>ZeroToBlank(INDEX(Table2[Site],MATCH(Table1[[#This Row],[Initiative]],Table2[Initiative],0)))</f>
        <v/>
      </c>
      <c r="D92" s="9" t="str">
        <f>ZeroToBlank(INDEX(Table2[Contact Details],MATCH(Table1[[#This Row],[Initiative]],Table2[Initiative],0)))</f>
        <v/>
      </c>
      <c r="E92" s="10" t="str">
        <f>ZeroToBlank(INDEX(Table2[Email ID],MATCH(Table1[[#This Row],[Initiative]],Table2[Initiative],0)))</f>
        <v/>
      </c>
      <c r="F92" s="7" t="s">
        <v>50</v>
      </c>
      <c r="G92" s="58">
        <v>42090</v>
      </c>
      <c r="H92" s="7" t="s">
        <v>199</v>
      </c>
      <c r="I92" s="7"/>
      <c r="J92" s="7"/>
      <c r="K92" s="7"/>
      <c r="L92" s="7"/>
    </row>
    <row r="93" spans="1:12" x14ac:dyDescent="0.3">
      <c r="A93" s="16" t="s">
        <v>183</v>
      </c>
      <c r="B93" s="16" t="str">
        <f>ZeroToBlank(INDEX(Table2[Division],MATCH(Table1[[#This Row],[Initiative]],Table2[Initiative],0)))</f>
        <v>Infra</v>
      </c>
      <c r="C93" s="17" t="str">
        <f>ZeroToBlank(INDEX(Table2[Site],MATCH(Table1[[#This Row],[Initiative]],Table2[Initiative],0)))</f>
        <v/>
      </c>
      <c r="D93" s="18" t="str">
        <f>ZeroToBlank(INDEX(Table2[Contact Details],MATCH(Table1[[#This Row],[Initiative]],Table2[Initiative],0)))</f>
        <v/>
      </c>
      <c r="E93" s="17" t="str">
        <f>ZeroToBlank(INDEX(Table2[Email ID],MATCH(Table1[[#This Row],[Initiative]],Table2[Initiative],0)))</f>
        <v/>
      </c>
      <c r="F93" s="16" t="s">
        <v>50</v>
      </c>
      <c r="G93" s="56">
        <v>42086</v>
      </c>
      <c r="H93" s="16" t="s">
        <v>200</v>
      </c>
      <c r="I93" s="16"/>
      <c r="J93" s="16"/>
      <c r="K93" s="16"/>
      <c r="L93" s="16"/>
    </row>
    <row r="94" spans="1:12" x14ac:dyDescent="0.3">
      <c r="A94" s="16" t="s">
        <v>183</v>
      </c>
      <c r="B94" s="16" t="str">
        <f>ZeroToBlank(INDEX(Table2[Division],MATCH(Table1[[#This Row],[Initiative]],Table2[Initiative],0)))</f>
        <v>Infra</v>
      </c>
      <c r="C94" s="17" t="str">
        <f>ZeroToBlank(INDEX(Table2[Site],MATCH(Table1[[#This Row],[Initiative]],Table2[Initiative],0)))</f>
        <v/>
      </c>
      <c r="D94" s="18" t="str">
        <f>ZeroToBlank(INDEX(Table2[Contact Details],MATCH(Table1[[#This Row],[Initiative]],Table2[Initiative],0)))</f>
        <v/>
      </c>
      <c r="E94" s="17" t="str">
        <f>ZeroToBlank(INDEX(Table2[Email ID],MATCH(Table1[[#This Row],[Initiative]],Table2[Initiative],0)))</f>
        <v/>
      </c>
      <c r="F94" s="16" t="s">
        <v>50</v>
      </c>
      <c r="G94" s="56">
        <v>42088</v>
      </c>
      <c r="H94" s="16" t="s">
        <v>201</v>
      </c>
      <c r="I94" s="16"/>
      <c r="J94" s="16"/>
      <c r="K94" s="16"/>
      <c r="L94" s="16"/>
    </row>
    <row r="95" spans="1:12" x14ac:dyDescent="0.3">
      <c r="A95" s="16" t="s">
        <v>16</v>
      </c>
      <c r="B95" s="16" t="str">
        <f>ZeroToBlank(INDEX(Table2[Division],MATCH(Table1[[#This Row],[Initiative]],Table2[Initiative],0)))</f>
        <v>Infra</v>
      </c>
      <c r="C95" s="17" t="str">
        <f>ZeroToBlank(INDEX(Table2[Site],MATCH(Table1[[#This Row],[Initiative]],Table2[Initiative],0)))</f>
        <v/>
      </c>
      <c r="D95" s="18" t="str">
        <f>ZeroToBlank(INDEX(Table2[Contact Details],MATCH(Table1[[#This Row],[Initiative]],Table2[Initiative],0)))</f>
        <v/>
      </c>
      <c r="E95" s="17" t="str">
        <f>ZeroToBlank(INDEX(Table2[Email ID],MATCH(Table1[[#This Row],[Initiative]],Table2[Initiative],0)))</f>
        <v/>
      </c>
      <c r="F95" s="16" t="s">
        <v>51</v>
      </c>
      <c r="G95" s="56">
        <v>42064</v>
      </c>
      <c r="H95" s="16" t="s">
        <v>202</v>
      </c>
      <c r="I95" s="16"/>
      <c r="J95" s="16"/>
      <c r="K95" s="16"/>
      <c r="L95" s="16"/>
    </row>
    <row r="96" spans="1:12" x14ac:dyDescent="0.3">
      <c r="A96" s="16" t="s">
        <v>123</v>
      </c>
      <c r="B96" s="16" t="str">
        <f>ZeroToBlank(INDEX(Table2[Division],MATCH(Table1[[#This Row],[Initiative]],Table2[Initiative],0)))</f>
        <v>Infra</v>
      </c>
      <c r="C96" s="17" t="str">
        <f>ZeroToBlank(INDEX(Table2[Site],MATCH(Table1[[#This Row],[Initiative]],Table2[Initiative],0)))</f>
        <v/>
      </c>
      <c r="D96" s="18" t="str">
        <f>ZeroToBlank(INDEX(Table2[Contact Details],MATCH(Table1[[#This Row],[Initiative]],Table2[Initiative],0)))</f>
        <v/>
      </c>
      <c r="E96" s="17" t="str">
        <f>ZeroToBlank(INDEX(Table2[Email ID],MATCH(Table1[[#This Row],[Initiative]],Table2[Initiative],0)))</f>
        <v/>
      </c>
      <c r="F96" s="16" t="s">
        <v>50</v>
      </c>
      <c r="G96" s="56">
        <v>42086</v>
      </c>
      <c r="H96" s="16" t="s">
        <v>209</v>
      </c>
      <c r="I96" s="16"/>
      <c r="J96" s="16"/>
      <c r="K96" s="16"/>
      <c r="L96" s="16"/>
    </row>
    <row r="97" spans="1:12" x14ac:dyDescent="0.3">
      <c r="A97" s="16" t="s">
        <v>123</v>
      </c>
      <c r="B97" s="16" t="str">
        <f>ZeroToBlank(INDEX(Table2[Division],MATCH(Table1[[#This Row],[Initiative]],Table2[Initiative],0)))</f>
        <v>Infra</v>
      </c>
      <c r="C97" s="17" t="str">
        <f>ZeroToBlank(INDEX(Table2[Site],MATCH(Table1[[#This Row],[Initiative]],Table2[Initiative],0)))</f>
        <v/>
      </c>
      <c r="D97" s="18" t="str">
        <f>ZeroToBlank(INDEX(Table2[Contact Details],MATCH(Table1[[#This Row],[Initiative]],Table2[Initiative],0)))</f>
        <v/>
      </c>
      <c r="E97" s="17" t="str">
        <f>ZeroToBlank(INDEX(Table2[Email ID],MATCH(Table1[[#This Row],[Initiative]],Table2[Initiative],0)))</f>
        <v/>
      </c>
      <c r="F97" s="16" t="s">
        <v>50</v>
      </c>
      <c r="G97" s="56">
        <v>42094</v>
      </c>
      <c r="H97" s="16" t="s">
        <v>210</v>
      </c>
      <c r="I97" s="16"/>
      <c r="J97" s="16"/>
      <c r="K97" s="16"/>
      <c r="L97" s="16"/>
    </row>
    <row r="98" spans="1:12" x14ac:dyDescent="0.3">
      <c r="A98" s="16" t="s">
        <v>123</v>
      </c>
      <c r="B98" s="16" t="str">
        <f>ZeroToBlank(INDEX(Table2[Division],MATCH(Table1[[#This Row],[Initiative]],Table2[Initiative],0)))</f>
        <v>Infra</v>
      </c>
      <c r="C98" s="17" t="str">
        <f>ZeroToBlank(INDEX(Table2[Site],MATCH(Table1[[#This Row],[Initiative]],Table2[Initiative],0)))</f>
        <v/>
      </c>
      <c r="D98" s="18" t="str">
        <f>ZeroToBlank(INDEX(Table2[Contact Details],MATCH(Table1[[#This Row],[Initiative]],Table2[Initiative],0)))</f>
        <v/>
      </c>
      <c r="E98" s="17" t="str">
        <f>ZeroToBlank(INDEX(Table2[Email ID],MATCH(Table1[[#This Row],[Initiative]],Table2[Initiative],0)))</f>
        <v/>
      </c>
      <c r="F98" s="16" t="s">
        <v>50</v>
      </c>
      <c r="G98" s="56">
        <v>42095</v>
      </c>
      <c r="H98" s="16" t="s">
        <v>211</v>
      </c>
      <c r="I98" s="16"/>
      <c r="J98" s="16"/>
      <c r="K98" s="16"/>
      <c r="L98" s="16"/>
    </row>
    <row r="99" spans="1:12" x14ac:dyDescent="0.3">
      <c r="A99" s="16" t="s">
        <v>214</v>
      </c>
      <c r="B99" s="16" t="str">
        <f>ZeroToBlank(INDEX(Table2[Division],MATCH(Table1[[#This Row],[Initiative]],Table2[Initiative],0)))</f>
        <v>Infra</v>
      </c>
      <c r="C99" s="17" t="str">
        <f>ZeroToBlank(INDEX(Table2[Site],MATCH(Table1[[#This Row],[Initiative]],Table2[Initiative],0)))</f>
        <v/>
      </c>
      <c r="D99" s="18" t="str">
        <f>ZeroToBlank(INDEX(Table2[Contact Details],MATCH(Table1[[#This Row],[Initiative]],Table2[Initiative],0)))</f>
        <v/>
      </c>
      <c r="E99" s="17" t="str">
        <f>ZeroToBlank(INDEX(Table2[Email ID],MATCH(Table1[[#This Row],[Initiative]],Table2[Initiative],0)))</f>
        <v/>
      </c>
      <c r="F99" s="16" t="s">
        <v>50</v>
      </c>
      <c r="G99" s="56">
        <v>42094</v>
      </c>
      <c r="H99" s="16" t="s">
        <v>212</v>
      </c>
      <c r="I99" s="16"/>
      <c r="J99" s="16"/>
      <c r="K99" s="16"/>
      <c r="L99" s="16"/>
    </row>
    <row r="100" spans="1:12" x14ac:dyDescent="0.3">
      <c r="A100" s="16" t="s">
        <v>186</v>
      </c>
      <c r="B100" s="16" t="str">
        <f>ZeroToBlank(INDEX(Table2[Division],MATCH(Table1[[#This Row],[Initiative]],Table2[Initiative],0)))</f>
        <v>Infra</v>
      </c>
      <c r="C100" s="17" t="str">
        <f>ZeroToBlank(INDEX(Table2[Site],MATCH(Table1[[#This Row],[Initiative]],Table2[Initiative],0)))</f>
        <v/>
      </c>
      <c r="D100" s="18" t="str">
        <f>ZeroToBlank(INDEX(Table2[Contact Details],MATCH(Table1[[#This Row],[Initiative]],Table2[Initiative],0)))</f>
        <v/>
      </c>
      <c r="E100" s="17" t="str">
        <f>ZeroToBlank(INDEX(Table2[Email ID],MATCH(Table1[[#This Row],[Initiative]],Table2[Initiative],0)))</f>
        <v/>
      </c>
      <c r="F100" s="16" t="s">
        <v>50</v>
      </c>
      <c r="G100" s="56">
        <v>42084</v>
      </c>
      <c r="H100" s="16" t="s">
        <v>216</v>
      </c>
      <c r="I100" s="16"/>
      <c r="J100" s="16"/>
      <c r="K100" s="16"/>
      <c r="L100" s="16"/>
    </row>
    <row r="101" spans="1:12" x14ac:dyDescent="0.3">
      <c r="A101" s="16" t="s">
        <v>186</v>
      </c>
      <c r="B101" s="16" t="str">
        <f>ZeroToBlank(INDEX(Table2[Division],MATCH(Table1[[#This Row],[Initiative]],Table2[Initiative],0)))</f>
        <v>Infra</v>
      </c>
      <c r="C101" s="17" t="str">
        <f>ZeroToBlank(INDEX(Table2[Site],MATCH(Table1[[#This Row],[Initiative]],Table2[Initiative],0)))</f>
        <v/>
      </c>
      <c r="D101" s="18" t="str">
        <f>ZeroToBlank(INDEX(Table2[Contact Details],MATCH(Table1[[#This Row],[Initiative]],Table2[Initiative],0)))</f>
        <v/>
      </c>
      <c r="E101" s="17" t="str">
        <f>ZeroToBlank(INDEX(Table2[Email ID],MATCH(Table1[[#This Row],[Initiative]],Table2[Initiative],0)))</f>
        <v/>
      </c>
      <c r="F101" s="16" t="s">
        <v>50</v>
      </c>
      <c r="G101" s="56">
        <v>42090</v>
      </c>
      <c r="H101" s="16" t="s">
        <v>217</v>
      </c>
      <c r="I101" s="16"/>
      <c r="J101" s="16"/>
      <c r="K101" s="16"/>
      <c r="L101" s="16"/>
    </row>
    <row r="102" spans="1:12" x14ac:dyDescent="0.3">
      <c r="A102" s="16" t="s">
        <v>186</v>
      </c>
      <c r="B102" s="16" t="str">
        <f>ZeroToBlank(INDEX(Table2[Division],MATCH(Table1[[#This Row],[Initiative]],Table2[Initiative],0)))</f>
        <v>Infra</v>
      </c>
      <c r="C102" s="17" t="str">
        <f>ZeroToBlank(INDEX(Table2[Site],MATCH(Table1[[#This Row],[Initiative]],Table2[Initiative],0)))</f>
        <v/>
      </c>
      <c r="D102" s="18" t="str">
        <f>ZeroToBlank(INDEX(Table2[Contact Details],MATCH(Table1[[#This Row],[Initiative]],Table2[Initiative],0)))</f>
        <v/>
      </c>
      <c r="E102" s="17" t="str">
        <f>ZeroToBlank(INDEX(Table2[Email ID],MATCH(Table1[[#This Row],[Initiative]],Table2[Initiative],0)))</f>
        <v/>
      </c>
      <c r="F102" s="16" t="s">
        <v>50</v>
      </c>
      <c r="G102" s="56">
        <v>42096</v>
      </c>
      <c r="H102" s="16" t="s">
        <v>218</v>
      </c>
      <c r="I102" s="16"/>
      <c r="J102" s="16"/>
      <c r="K102" s="16"/>
      <c r="L102" s="16"/>
    </row>
    <row r="103" spans="1:12" x14ac:dyDescent="0.3">
      <c r="A103" s="16" t="s">
        <v>17</v>
      </c>
      <c r="B103" s="16" t="str">
        <f>ZeroToBlank(INDEX(Table2[Division],MATCH(Table1[[#This Row],[Initiative]],Table2[Initiative],0)))</f>
        <v>Drummella</v>
      </c>
      <c r="C103" s="17" t="str">
        <f>ZeroToBlank(INDEX(Table2[Site],MATCH(Table1[[#This Row],[Initiative]],Table2[Initiative],0)))</f>
        <v/>
      </c>
      <c r="D103" s="18" t="str">
        <f>ZeroToBlank(INDEX(Table2[Contact Details],MATCH(Table1[[#This Row],[Initiative]],Table2[Initiative],0)))</f>
        <v/>
      </c>
      <c r="E103" s="17" t="str">
        <f>ZeroToBlank(INDEX(Table2[Email ID],MATCH(Table1[[#This Row],[Initiative]],Table2[Initiative],0)))</f>
        <v/>
      </c>
      <c r="F103" s="16" t="s">
        <v>50</v>
      </c>
      <c r="G103" s="56">
        <v>42092</v>
      </c>
      <c r="H103" s="16" t="s">
        <v>222</v>
      </c>
      <c r="I103" s="16"/>
      <c r="J103" s="16"/>
      <c r="K103" s="16"/>
      <c r="L103" s="16"/>
    </row>
    <row r="104" spans="1:12" x14ac:dyDescent="0.3">
      <c r="A104" s="16" t="s">
        <v>172</v>
      </c>
      <c r="B104" s="16" t="str">
        <f>ZeroToBlank(INDEX(Table2[Division],MATCH(Table1[[#This Row],[Initiative]],Table2[Initiative],0)))</f>
        <v>All</v>
      </c>
      <c r="C104" s="17" t="str">
        <f>ZeroToBlank(INDEX(Table2[Site],MATCH(Table1[[#This Row],[Initiative]],Table2[Initiative],0)))</f>
        <v/>
      </c>
      <c r="D104" s="18" t="str">
        <f>ZeroToBlank(INDEX(Table2[Contact Details],MATCH(Table1[[#This Row],[Initiative]],Table2[Initiative],0)))</f>
        <v/>
      </c>
      <c r="E104" s="17" t="str">
        <f>ZeroToBlank(INDEX(Table2[Email ID],MATCH(Table1[[#This Row],[Initiative]],Table2[Initiative],0)))</f>
        <v/>
      </c>
      <c r="F104" s="16" t="s">
        <v>50</v>
      </c>
      <c r="G104" s="56">
        <v>42079</v>
      </c>
      <c r="H104" s="16" t="s">
        <v>232</v>
      </c>
      <c r="I104" s="16"/>
      <c r="J104" s="16"/>
      <c r="K104" s="16"/>
      <c r="L104" s="16"/>
    </row>
    <row r="105" spans="1:12" x14ac:dyDescent="0.3">
      <c r="A105" s="16" t="s">
        <v>172</v>
      </c>
      <c r="B105" s="16" t="str">
        <f>ZeroToBlank(INDEX(Table2[Division],MATCH(Table1[[#This Row],[Initiative]],Table2[Initiative],0)))</f>
        <v>All</v>
      </c>
      <c r="C105" s="17" t="str">
        <f>ZeroToBlank(INDEX(Table2[Site],MATCH(Table1[[#This Row],[Initiative]],Table2[Initiative],0)))</f>
        <v/>
      </c>
      <c r="D105" s="18" t="str">
        <f>ZeroToBlank(INDEX(Table2[Contact Details],MATCH(Table1[[#This Row],[Initiative]],Table2[Initiative],0)))</f>
        <v/>
      </c>
      <c r="E105" s="17" t="str">
        <f>ZeroToBlank(INDEX(Table2[Email ID],MATCH(Table1[[#This Row],[Initiative]],Table2[Initiative],0)))</f>
        <v/>
      </c>
      <c r="F105" s="16" t="s">
        <v>51</v>
      </c>
      <c r="G105" s="56">
        <v>42086</v>
      </c>
      <c r="H105" s="16" t="s">
        <v>234</v>
      </c>
      <c r="I105" s="16"/>
      <c r="J105" s="16"/>
      <c r="K105" s="16"/>
      <c r="L105" s="16"/>
    </row>
    <row r="106" spans="1:12" x14ac:dyDescent="0.3">
      <c r="A106" s="16" t="s">
        <v>176</v>
      </c>
      <c r="B106" s="16" t="str">
        <f>ZeroToBlank(INDEX(Table2[Division],MATCH(Table1[[#This Row],[Initiative]],Table2[Initiative],0)))</f>
        <v>Infra</v>
      </c>
      <c r="C106" s="17" t="str">
        <f>ZeroToBlank(INDEX(Table2[Site],MATCH(Table1[[#This Row],[Initiative]],Table2[Initiative],0)))</f>
        <v/>
      </c>
      <c r="D106" s="18" t="str">
        <f>ZeroToBlank(INDEX(Table2[Contact Details],MATCH(Table1[[#This Row],[Initiative]],Table2[Initiative],0)))</f>
        <v/>
      </c>
      <c r="E106" s="17" t="str">
        <f>ZeroToBlank(INDEX(Table2[Email ID],MATCH(Table1[[#This Row],[Initiative]],Table2[Initiative],0)))</f>
        <v/>
      </c>
      <c r="F106" s="16" t="s">
        <v>51</v>
      </c>
      <c r="G106" s="56">
        <v>42100</v>
      </c>
      <c r="H106" s="16" t="s">
        <v>56</v>
      </c>
      <c r="I106" s="16"/>
      <c r="J106" s="16"/>
      <c r="K106" s="16"/>
      <c r="L106" s="16"/>
    </row>
    <row r="107" spans="1:12" x14ac:dyDescent="0.3">
      <c r="A107" s="16" t="s">
        <v>32</v>
      </c>
      <c r="B107" s="16" t="str">
        <f>ZeroToBlank(INDEX(Table2[Division],MATCH(Table1[[#This Row],[Initiative]],Table2[Initiative],0)))</f>
        <v>Infra</v>
      </c>
      <c r="C107" s="17" t="str">
        <f>ZeroToBlank(INDEX(Table2[Site],MATCH(Table1[[#This Row],[Initiative]],Table2[Initiative],0)))</f>
        <v/>
      </c>
      <c r="D107" s="18" t="str">
        <f>ZeroToBlank(INDEX(Table2[Contact Details],MATCH(Table1[[#This Row],[Initiative]],Table2[Initiative],0)))</f>
        <v/>
      </c>
      <c r="E107" s="17" t="str">
        <f>ZeroToBlank(INDEX(Table2[Email ID],MATCH(Table1[[#This Row],[Initiative]],Table2[Initiative],0)))</f>
        <v/>
      </c>
      <c r="F107" s="16" t="s">
        <v>51</v>
      </c>
      <c r="G107" s="56">
        <v>42100</v>
      </c>
      <c r="H107" s="16" t="s">
        <v>241</v>
      </c>
      <c r="I107" s="16"/>
      <c r="J107" s="16"/>
      <c r="K107" s="16"/>
      <c r="L107" s="16"/>
    </row>
    <row r="108" spans="1:12" x14ac:dyDescent="0.3">
      <c r="A108" s="16" t="s">
        <v>16</v>
      </c>
      <c r="B108" s="16" t="str">
        <f>ZeroToBlank(INDEX(Table2[Division],MATCH(Table1[[#This Row],[Initiative]],Table2[Initiative],0)))</f>
        <v>Infra</v>
      </c>
      <c r="C108" s="17" t="str">
        <f>ZeroToBlank(INDEX(Table2[Site],MATCH(Table1[[#This Row],[Initiative]],Table2[Initiative],0)))</f>
        <v/>
      </c>
      <c r="D108" s="18" t="str">
        <f>ZeroToBlank(INDEX(Table2[Contact Details],MATCH(Table1[[#This Row],[Initiative]],Table2[Initiative],0)))</f>
        <v/>
      </c>
      <c r="E108" s="17" t="str">
        <f>ZeroToBlank(INDEX(Table2[Email ID],MATCH(Table1[[#This Row],[Initiative]],Table2[Initiative],0)))</f>
        <v/>
      </c>
      <c r="F108" s="16" t="s">
        <v>51</v>
      </c>
      <c r="G108" s="56">
        <v>42100</v>
      </c>
      <c r="H108" s="16" t="s">
        <v>242</v>
      </c>
      <c r="I108" s="16"/>
      <c r="J108" s="16"/>
      <c r="K108" s="16"/>
      <c r="L108" s="16"/>
    </row>
    <row r="109" spans="1:12" x14ac:dyDescent="0.3">
      <c r="A109" s="16" t="s">
        <v>214</v>
      </c>
      <c r="B109" s="16" t="str">
        <f>ZeroToBlank(INDEX(Table2[Division],MATCH(Table1[[#This Row],[Initiative]],Table2[Initiative],0)))</f>
        <v>Infra</v>
      </c>
      <c r="C109" s="17" t="str">
        <f>ZeroToBlank(INDEX(Table2[Site],MATCH(Table1[[#This Row],[Initiative]],Table2[Initiative],0)))</f>
        <v/>
      </c>
      <c r="D109" s="18" t="str">
        <f>ZeroToBlank(INDEX(Table2[Contact Details],MATCH(Table1[[#This Row],[Initiative]],Table2[Initiative],0)))</f>
        <v/>
      </c>
      <c r="E109" s="17" t="str">
        <f>ZeroToBlank(INDEX(Table2[Email ID],MATCH(Table1[[#This Row],[Initiative]],Table2[Initiative],0)))</f>
        <v/>
      </c>
      <c r="F109" s="16" t="s">
        <v>50</v>
      </c>
      <c r="G109" s="56">
        <v>42100</v>
      </c>
      <c r="H109" s="16" t="s">
        <v>243</v>
      </c>
      <c r="I109" s="16"/>
      <c r="J109" s="16"/>
      <c r="K109" s="16"/>
      <c r="L109" s="16"/>
    </row>
    <row r="110" spans="1:12" x14ac:dyDescent="0.3">
      <c r="A110" s="16" t="s">
        <v>172</v>
      </c>
      <c r="B110" s="16" t="str">
        <f>ZeroToBlank(INDEX(Table2[Division],MATCH(Table1[[#This Row],[Initiative]],Table2[Initiative],0)))</f>
        <v>All</v>
      </c>
      <c r="C110" s="17" t="str">
        <f>ZeroToBlank(INDEX(Table2[Site],MATCH(Table1[[#This Row],[Initiative]],Table2[Initiative],0)))</f>
        <v/>
      </c>
      <c r="D110" s="18" t="str">
        <f>ZeroToBlank(INDEX(Table2[Contact Details],MATCH(Table1[[#This Row],[Initiative]],Table2[Initiative],0)))</f>
        <v/>
      </c>
      <c r="E110" s="17" t="str">
        <f>ZeroToBlank(INDEX(Table2[Email ID],MATCH(Table1[[#This Row],[Initiative]],Table2[Initiative],0)))</f>
        <v/>
      </c>
      <c r="F110" s="16" t="s">
        <v>50</v>
      </c>
      <c r="G110" s="56">
        <v>42100</v>
      </c>
      <c r="H110" s="16" t="s">
        <v>244</v>
      </c>
      <c r="I110" s="16"/>
      <c r="J110" s="16"/>
      <c r="K110" s="16"/>
      <c r="L110" s="16"/>
    </row>
    <row r="111" spans="1:12" x14ac:dyDescent="0.3">
      <c r="A111" s="16" t="s">
        <v>237</v>
      </c>
      <c r="B111" s="16" t="str">
        <f>ZeroToBlank(INDEX(Table2[Division],MATCH(Table1[[#This Row],[Initiative]],Table2[Initiative],0)))</f>
        <v/>
      </c>
      <c r="C111" s="17" t="str">
        <f>ZeroToBlank(INDEX(Table2[Site],MATCH(Table1[[#This Row],[Initiative]],Table2[Initiative],0)))</f>
        <v/>
      </c>
      <c r="D111" s="18" t="str">
        <f>ZeroToBlank(INDEX(Table2[Contact Details],MATCH(Table1[[#This Row],[Initiative]],Table2[Initiative],0)))</f>
        <v/>
      </c>
      <c r="E111" s="17" t="str">
        <f>ZeroToBlank(INDEX(Table2[Email ID],MATCH(Table1[[#This Row],[Initiative]],Table2[Initiative],0)))</f>
        <v/>
      </c>
      <c r="F111" s="16" t="s">
        <v>50</v>
      </c>
      <c r="G111" s="56">
        <v>42100</v>
      </c>
      <c r="H111" s="16" t="s">
        <v>245</v>
      </c>
      <c r="I111" s="16"/>
      <c r="J111" s="16"/>
      <c r="K111" s="16"/>
      <c r="L111" s="16"/>
    </row>
    <row r="112" spans="1:12" x14ac:dyDescent="0.3">
      <c r="A112" s="16" t="s">
        <v>238</v>
      </c>
      <c r="B112" s="16" t="str">
        <f>ZeroToBlank(INDEX(Table2[Division],MATCH(Table1[[#This Row],[Initiative]],Table2[Initiative],0)))</f>
        <v/>
      </c>
      <c r="C112" s="17" t="str">
        <f>ZeroToBlank(INDEX(Table2[Site],MATCH(Table1[[#This Row],[Initiative]],Table2[Initiative],0)))</f>
        <v/>
      </c>
      <c r="D112" s="18" t="str">
        <f>ZeroToBlank(INDEX(Table2[Contact Details],MATCH(Table1[[#This Row],[Initiative]],Table2[Initiative],0)))</f>
        <v/>
      </c>
      <c r="E112" s="17" t="str">
        <f>ZeroToBlank(INDEX(Table2[Email ID],MATCH(Table1[[#This Row],[Initiative]],Table2[Initiative],0)))</f>
        <v/>
      </c>
      <c r="F112" s="16" t="s">
        <v>51</v>
      </c>
      <c r="G112" s="56">
        <v>42100</v>
      </c>
      <c r="H112" s="16" t="s">
        <v>246</v>
      </c>
      <c r="I112" s="16"/>
      <c r="J112" s="16"/>
      <c r="K112" s="16"/>
      <c r="L112" s="16"/>
    </row>
    <row r="113" spans="1:12" x14ac:dyDescent="0.3">
      <c r="A113" s="16" t="s">
        <v>229</v>
      </c>
      <c r="B113" s="16" t="str">
        <f>ZeroToBlank(INDEX(Table2[Division],MATCH(Table1[[#This Row],[Initiative]],Table2[Initiative],0)))</f>
        <v/>
      </c>
      <c r="C113" s="17" t="str">
        <f>ZeroToBlank(INDEX(Table2[Site],MATCH(Table1[[#This Row],[Initiative]],Table2[Initiative],0)))</f>
        <v/>
      </c>
      <c r="D113" s="18" t="str">
        <f>ZeroToBlank(INDEX(Table2[Contact Details],MATCH(Table1[[#This Row],[Initiative]],Table2[Initiative],0)))</f>
        <v/>
      </c>
      <c r="E113" s="17" t="str">
        <f>ZeroToBlank(INDEX(Table2[Email ID],MATCH(Table1[[#This Row],[Initiative]],Table2[Initiative],0)))</f>
        <v/>
      </c>
      <c r="F113" s="16" t="s">
        <v>51</v>
      </c>
      <c r="G113" s="56">
        <v>42100</v>
      </c>
      <c r="H113" s="16" t="s">
        <v>247</v>
      </c>
      <c r="I113" s="16"/>
      <c r="J113" s="16"/>
      <c r="K113" s="16"/>
      <c r="L113" s="16"/>
    </row>
    <row r="114" spans="1:12" x14ac:dyDescent="0.3">
      <c r="A114" s="16" t="s">
        <v>236</v>
      </c>
      <c r="B114" s="16" t="str">
        <f>ZeroToBlank(INDEX(Table2[Division],MATCH(Table1[[#This Row],[Initiative]],Table2[Initiative],0)))</f>
        <v/>
      </c>
      <c r="C114" s="17" t="str">
        <f>ZeroToBlank(INDEX(Table2[Site],MATCH(Table1[[#This Row],[Initiative]],Table2[Initiative],0)))</f>
        <v/>
      </c>
      <c r="D114" s="18" t="str">
        <f>ZeroToBlank(INDEX(Table2[Contact Details],MATCH(Table1[[#This Row],[Initiative]],Table2[Initiative],0)))</f>
        <v/>
      </c>
      <c r="E114" s="17" t="str">
        <f>ZeroToBlank(INDEX(Table2[Email ID],MATCH(Table1[[#This Row],[Initiative]],Table2[Initiative],0)))</f>
        <v/>
      </c>
      <c r="F114" s="16" t="s">
        <v>51</v>
      </c>
      <c r="G114" s="56">
        <v>42101</v>
      </c>
      <c r="H114" s="16" t="s">
        <v>248</v>
      </c>
      <c r="I114" s="16"/>
      <c r="J114" s="16" t="s">
        <v>249</v>
      </c>
      <c r="K114" s="16"/>
      <c r="L114" s="16"/>
    </row>
  </sheetData>
  <dataValidations count="1">
    <dataValidation type="list" allowBlank="1" showInputMessage="1" showErrorMessage="1" sqref="A2:A114" xr:uid="{00000000-0002-0000-0100-000000000000}">
      <formula1>Leads</formula1>
    </dataValidation>
  </dataValidations>
  <hyperlinks>
    <hyperlink ref="J18" r:id="rId1" location="n=2dd7fd18-a4e4-47b5-b5fd-181060210d21&amp;b=9e0b2358-a622-44d7-8feb-2e8c6c62811e&amp;ses=4&amp;sh=1&amp;sds=5&amp;" xr:uid="{00000000-0004-0000-0100-000000000000}"/>
    <hyperlink ref="J17" r:id="rId2" location="n=ff9dd221-133e-4f3a-8ea7-68e3d9f07e72&amp;b=9e0b2358-a622-44d7-8feb-2e8c6c62811e&amp;ses=4&amp;sh=1&amp;sds=5&amp;" xr:uid="{00000000-0004-0000-0100-000001000000}"/>
    <hyperlink ref="J16" r:id="rId3" location="n=2a80c6d8-7985-4c2f-a404-3a2f082fe696&amp;b=9e0b2358-a622-44d7-8feb-2e8c6c62811e&amp;ses=4&amp;sh=1&amp;sds=5&amp;" xr:uid="{00000000-0004-0000-0100-000002000000}"/>
    <hyperlink ref="J15" r:id="rId4" location="n=d94e960d-b779-49af-9272-0fcfe9b6b56a&amp;b=9e0b2358-a622-44d7-8feb-2e8c6c62811e&amp;ses=4&amp;sh=1&amp;sds=5&amp;" xr:uid="{00000000-0004-0000-0100-000003000000}"/>
    <hyperlink ref="J14" r:id="rId5" location="n=84d33e57-7c40-47b8-b9fe-08548e270e93&amp;b=9e0b2358-a622-44d7-8feb-2e8c6c62811e&amp;ses=4&amp;sh=1&amp;sds=5&amp;" xr:uid="{00000000-0004-0000-0100-000004000000}"/>
    <hyperlink ref="J13" r:id="rId6" location="n=0ec338d1-f50c-4855-a955-1a8c3474bbb1&amp;b=9e0b2358-a622-44d7-8feb-2e8c6c62811e&amp;ses=4&amp;sh=1&amp;sds=5&amp;" xr:uid="{00000000-0004-0000-0100-000005000000}"/>
    <hyperlink ref="J11" r:id="rId7" location="n=12a551af-1146-42be-b950-c295add07e02&amp;b=9e0b2358-a622-44d7-8feb-2e8c6c62811e&amp;ses=4&amp;sh=1&amp;sds=5&amp;" xr:uid="{00000000-0004-0000-0100-000006000000}"/>
    <hyperlink ref="J12" r:id="rId8" location="n=db816ed0-3763-400a-a8b6-37042eb0c798&amp;b=9e0b2358-a622-44d7-8feb-2e8c6c62811e&amp;ses=4&amp;sh=1&amp;sds=5&amp;" xr:uid="{00000000-0004-0000-0100-000007000000}"/>
    <hyperlink ref="J21" r:id="rId9" location="n=b8c814ad-5ca1-4aea-8947-a83a58b714b2&amp;ses=1&amp;sh=5&amp;sds=5&amp;x=fernhill&amp;" xr:uid="{00000000-0004-0000-0100-000008000000}"/>
    <hyperlink ref="J20" r:id="rId10" location="n=2decad48-875f-47de-8a7d-7690f5c2f6dc&amp;ses=4&amp;sh=2&amp;sds=5&amp;" xr:uid="{00000000-0004-0000-0100-000009000000}"/>
    <hyperlink ref="J23" r:id="rId11" location="n=56e0b12b-520b-4580-8cd4-8364c7ef3a11&amp;ses=4&amp;sh=2&amp;sds=5&amp;" xr:uid="{00000000-0004-0000-0100-00000A000000}"/>
    <hyperlink ref="J24" r:id="rId12" xr:uid="{00000000-0004-0000-0100-00000B000000}"/>
    <hyperlink ref="J25" r:id="rId13" xr:uid="{00000000-0004-0000-0100-00000C000000}"/>
    <hyperlink ref="I46" r:id="rId14" xr:uid="{00000000-0004-0000-0100-00000D000000}"/>
    <hyperlink ref="I44:I45" r:id="rId15" display="https://www.evernote.com/shard/s244/nl/47233020/81925e4e-1cd1-4d03-a337-2e7bfaee43f0" xr:uid="{00000000-0004-0000-0100-00000E000000}"/>
    <hyperlink ref="I47" r:id="rId16" xr:uid="{00000000-0004-0000-0100-00000F000000}"/>
    <hyperlink ref="I43" r:id="rId17" xr:uid="{00000000-0004-0000-0100-000010000000}"/>
    <hyperlink ref="I53" r:id="rId18" xr:uid="{00000000-0004-0000-0100-000011000000}"/>
    <hyperlink ref="I62" r:id="rId19" location="n=58cebbd4-1314-41a5-952a-f56707bd4c5f&amp;ses=4&amp;sh=2&amp;sds=5&amp;" xr:uid="{00000000-0004-0000-0100-000012000000}"/>
    <hyperlink ref="I64" r:id="rId20" location="n=70c64979-dfe0-4c86-b09f-817517f1f951&amp;ses=4&amp;sh=2&amp;sds=5&amp;" xr:uid="{00000000-0004-0000-0100-000013000000}"/>
    <hyperlink ref="I66" r:id="rId21" location="n=70c64979-dfe0-4c86-b09f-817517f1f951&amp;ses=4&amp;sh=2&amp;sds=5&amp;" xr:uid="{00000000-0004-0000-0100-000014000000}"/>
    <hyperlink ref="I68" r:id="rId22" xr:uid="{00000000-0004-0000-0100-000015000000}"/>
    <hyperlink ref="J3" r:id="rId23" location="n=56e0b12b-520b-4580-8cd4-8364c7ef3a11&amp;b=cea6fa04-f079-4c24-bccb-6f322d59c92e&amp;ses=4&amp;sh=1&amp;sds=5&amp;" xr:uid="{00000000-0004-0000-0100-000016000000}"/>
  </hyperlinks>
  <pageMargins left="0.7" right="0.7" top="0.75" bottom="0.75" header="0.3" footer="0.3"/>
  <pageSetup orientation="portrait" r:id="rId24"/>
  <tableParts count="1">
    <tablePart r:id="rId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95307-EDF9-4A5B-9500-D0FC69BA20C9}">
  <dimension ref="A1:E211"/>
  <sheetViews>
    <sheetView tabSelected="1" topLeftCell="A187" workbookViewId="0">
      <selection activeCell="H204" sqref="H204"/>
    </sheetView>
  </sheetViews>
  <sheetFormatPr defaultRowHeight="14.4" x14ac:dyDescent="0.3"/>
  <sheetData>
    <row r="1" spans="1:5" x14ac:dyDescent="0.3">
      <c r="A1" s="70" t="s">
        <v>474</v>
      </c>
      <c r="B1" s="71" t="s">
        <v>203</v>
      </c>
      <c r="C1" s="71" t="s">
        <v>473</v>
      </c>
      <c r="D1" s="73" t="s">
        <v>472</v>
      </c>
      <c r="E1" s="69" t="s">
        <v>471</v>
      </c>
    </row>
    <row r="2" spans="1:5" x14ac:dyDescent="0.3">
      <c r="A2" s="68">
        <v>1</v>
      </c>
      <c r="B2" s="68" t="s">
        <v>470</v>
      </c>
      <c r="C2" s="68"/>
      <c r="D2" s="72">
        <v>1</v>
      </c>
      <c r="E2" s="68" t="s">
        <v>432</v>
      </c>
    </row>
    <row r="3" spans="1:5" x14ac:dyDescent="0.3">
      <c r="A3" s="7">
        <v>2</v>
      </c>
      <c r="B3" s="7" t="s">
        <v>469</v>
      </c>
      <c r="C3" s="7"/>
      <c r="D3" s="66"/>
      <c r="E3" s="7" t="s">
        <v>432</v>
      </c>
    </row>
    <row r="4" spans="1:5" x14ac:dyDescent="0.3">
      <c r="A4" s="7">
        <v>4</v>
      </c>
      <c r="B4" s="7" t="s">
        <v>468</v>
      </c>
      <c r="C4" s="7"/>
      <c r="D4" s="66"/>
      <c r="E4" s="7" t="s">
        <v>432</v>
      </c>
    </row>
    <row r="5" spans="1:5" x14ac:dyDescent="0.3">
      <c r="A5" s="7">
        <v>5</v>
      </c>
      <c r="B5" s="7" t="s">
        <v>467</v>
      </c>
      <c r="C5" s="7"/>
      <c r="D5" s="66"/>
      <c r="E5" s="7" t="s">
        <v>432</v>
      </c>
    </row>
    <row r="6" spans="1:5" x14ac:dyDescent="0.3">
      <c r="A6" s="7">
        <v>2</v>
      </c>
      <c r="B6" s="7" t="s">
        <v>466</v>
      </c>
      <c r="C6" s="7"/>
      <c r="D6" s="66"/>
      <c r="E6" s="7" t="s">
        <v>432</v>
      </c>
    </row>
    <row r="7" spans="1:5" x14ac:dyDescent="0.3">
      <c r="A7" s="7">
        <v>4</v>
      </c>
      <c r="B7" s="7" t="s">
        <v>465</v>
      </c>
      <c r="C7" s="7"/>
      <c r="D7" s="66"/>
      <c r="E7" s="7" t="s">
        <v>464</v>
      </c>
    </row>
    <row r="8" spans="1:5" x14ac:dyDescent="0.3">
      <c r="A8" s="7">
        <v>5</v>
      </c>
      <c r="B8" s="7" t="s">
        <v>463</v>
      </c>
      <c r="C8" s="7"/>
      <c r="D8" s="66"/>
      <c r="E8" s="7" t="s">
        <v>432</v>
      </c>
    </row>
    <row r="9" spans="1:5" x14ac:dyDescent="0.3">
      <c r="A9" s="7">
        <v>6</v>
      </c>
      <c r="B9" s="7" t="s">
        <v>462</v>
      </c>
      <c r="C9" s="7"/>
      <c r="D9" s="66"/>
      <c r="E9" s="7" t="s">
        <v>432</v>
      </c>
    </row>
    <row r="10" spans="1:5" x14ac:dyDescent="0.3">
      <c r="A10" s="7">
        <v>7</v>
      </c>
      <c r="B10" s="7" t="s">
        <v>461</v>
      </c>
      <c r="C10" s="7"/>
      <c r="D10" s="66"/>
      <c r="E10" s="7" t="s">
        <v>456</v>
      </c>
    </row>
    <row r="11" spans="1:5" x14ac:dyDescent="0.3">
      <c r="A11" s="7">
        <v>8</v>
      </c>
      <c r="B11" s="7" t="s">
        <v>460</v>
      </c>
      <c r="C11" s="7"/>
      <c r="D11" s="66"/>
      <c r="E11" s="7" t="s">
        <v>456</v>
      </c>
    </row>
    <row r="12" spans="1:5" x14ac:dyDescent="0.3">
      <c r="A12" s="7">
        <v>9</v>
      </c>
      <c r="B12" s="7" t="s">
        <v>459</v>
      </c>
      <c r="C12" s="7"/>
      <c r="D12" s="66"/>
      <c r="E12" s="7" t="s">
        <v>458</v>
      </c>
    </row>
    <row r="13" spans="1:5" x14ac:dyDescent="0.3">
      <c r="A13" s="7">
        <v>10</v>
      </c>
      <c r="B13" s="7" t="s">
        <v>457</v>
      </c>
      <c r="C13" s="7"/>
      <c r="D13" s="66"/>
      <c r="E13" s="7" t="s">
        <v>456</v>
      </c>
    </row>
    <row r="14" spans="1:5" x14ac:dyDescent="0.3">
      <c r="A14" s="7">
        <v>2</v>
      </c>
      <c r="B14" s="7" t="s">
        <v>455</v>
      </c>
      <c r="C14" s="7"/>
      <c r="D14" s="66"/>
      <c r="E14" s="7" t="s">
        <v>432</v>
      </c>
    </row>
    <row r="15" spans="1:5" x14ac:dyDescent="0.3">
      <c r="A15" s="7">
        <v>3</v>
      </c>
      <c r="B15" s="7" t="s">
        <v>454</v>
      </c>
      <c r="C15" s="7"/>
      <c r="D15" s="66"/>
      <c r="E15" s="7" t="s">
        <v>432</v>
      </c>
    </row>
    <row r="16" spans="1:5" x14ac:dyDescent="0.3">
      <c r="A16" s="7">
        <v>4</v>
      </c>
      <c r="B16" s="7" t="s">
        <v>453</v>
      </c>
      <c r="C16" s="7"/>
      <c r="D16" s="66"/>
      <c r="E16" s="7" t="s">
        <v>432</v>
      </c>
    </row>
    <row r="17" spans="1:5" x14ac:dyDescent="0.3">
      <c r="A17" s="7">
        <v>5</v>
      </c>
      <c r="B17" s="7" t="s">
        <v>452</v>
      </c>
      <c r="C17" s="7"/>
      <c r="D17" s="66"/>
      <c r="E17" s="7" t="s">
        <v>432</v>
      </c>
    </row>
    <row r="18" spans="1:5" x14ac:dyDescent="0.3">
      <c r="A18" s="7">
        <v>6</v>
      </c>
      <c r="B18" s="7" t="s">
        <v>451</v>
      </c>
      <c r="C18" s="7"/>
      <c r="D18" s="66"/>
      <c r="E18" s="7" t="s">
        <v>432</v>
      </c>
    </row>
    <row r="19" spans="1:5" x14ac:dyDescent="0.3">
      <c r="A19" s="7">
        <v>7</v>
      </c>
      <c r="B19" s="7" t="s">
        <v>450</v>
      </c>
      <c r="C19" s="7"/>
      <c r="D19" s="66"/>
      <c r="E19" s="7" t="s">
        <v>432</v>
      </c>
    </row>
    <row r="20" spans="1:5" x14ac:dyDescent="0.3">
      <c r="A20" s="7">
        <v>16</v>
      </c>
      <c r="B20" s="7" t="s">
        <v>449</v>
      </c>
      <c r="C20" s="7"/>
      <c r="D20" s="66"/>
      <c r="E20" s="7" t="s">
        <v>432</v>
      </c>
    </row>
    <row r="21" spans="1:5" x14ac:dyDescent="0.3">
      <c r="A21" s="7">
        <v>18</v>
      </c>
      <c r="B21" s="7" t="s">
        <v>448</v>
      </c>
      <c r="C21" s="7"/>
      <c r="D21" s="66"/>
      <c r="E21" s="7" t="s">
        <v>432</v>
      </c>
    </row>
    <row r="22" spans="1:5" x14ac:dyDescent="0.3">
      <c r="A22" s="7">
        <v>21</v>
      </c>
      <c r="B22" s="7" t="s">
        <v>447</v>
      </c>
      <c r="C22" s="7"/>
      <c r="D22" s="66"/>
      <c r="E22" s="7" t="s">
        <v>432</v>
      </c>
    </row>
    <row r="23" spans="1:5" x14ac:dyDescent="0.3">
      <c r="A23" s="7">
        <v>2</v>
      </c>
      <c r="B23" s="7" t="s">
        <v>446</v>
      </c>
      <c r="C23" s="7"/>
      <c r="D23" s="66"/>
      <c r="E23" s="7" t="s">
        <v>432</v>
      </c>
    </row>
    <row r="24" spans="1:5" x14ac:dyDescent="0.3">
      <c r="A24" s="7">
        <v>1</v>
      </c>
      <c r="B24" s="7" t="s">
        <v>445</v>
      </c>
      <c r="C24" s="7" t="s">
        <v>444</v>
      </c>
      <c r="D24" s="66">
        <v>7</v>
      </c>
      <c r="E24" s="7" t="s">
        <v>432</v>
      </c>
    </row>
    <row r="25" spans="1:5" x14ac:dyDescent="0.3">
      <c r="A25" s="7">
        <v>6</v>
      </c>
      <c r="B25" s="7" t="s">
        <v>443</v>
      </c>
      <c r="C25" s="7"/>
      <c r="D25" s="66"/>
      <c r="E25" s="7" t="s">
        <v>432</v>
      </c>
    </row>
    <row r="26" spans="1:5" x14ac:dyDescent="0.3">
      <c r="A26" s="7">
        <v>7</v>
      </c>
      <c r="B26" s="7" t="s">
        <v>442</v>
      </c>
      <c r="C26" s="7"/>
      <c r="D26" s="66"/>
      <c r="E26" s="7" t="s">
        <v>432</v>
      </c>
    </row>
    <row r="27" spans="1:5" x14ac:dyDescent="0.3">
      <c r="A27" s="7">
        <v>8</v>
      </c>
      <c r="B27" s="7" t="s">
        <v>441</v>
      </c>
      <c r="C27" s="7"/>
      <c r="D27" s="66"/>
      <c r="E27" s="7" t="s">
        <v>432</v>
      </c>
    </row>
    <row r="28" spans="1:5" x14ac:dyDescent="0.3">
      <c r="A28" s="7">
        <v>9</v>
      </c>
      <c r="B28" s="7" t="s">
        <v>440</v>
      </c>
      <c r="C28" s="7"/>
      <c r="D28" s="66"/>
      <c r="E28" s="7" t="s">
        <v>439</v>
      </c>
    </row>
    <row r="29" spans="1:5" x14ac:dyDescent="0.3">
      <c r="A29" s="7">
        <v>10</v>
      </c>
      <c r="B29" s="7" t="s">
        <v>438</v>
      </c>
      <c r="C29" s="7"/>
      <c r="D29" s="66"/>
      <c r="E29" s="7" t="s">
        <v>435</v>
      </c>
    </row>
    <row r="30" spans="1:5" x14ac:dyDescent="0.3">
      <c r="A30" s="7">
        <v>11</v>
      </c>
      <c r="B30" s="7" t="s">
        <v>437</v>
      </c>
      <c r="C30" s="7"/>
      <c r="D30" s="66"/>
      <c r="E30" s="7" t="s">
        <v>435</v>
      </c>
    </row>
    <row r="31" spans="1:5" x14ac:dyDescent="0.3">
      <c r="A31" s="7">
        <v>12</v>
      </c>
      <c r="B31" s="7" t="s">
        <v>436</v>
      </c>
      <c r="C31" s="7"/>
      <c r="D31" s="66"/>
      <c r="E31" s="7" t="s">
        <v>435</v>
      </c>
    </row>
    <row r="32" spans="1:5" x14ac:dyDescent="0.3">
      <c r="A32" s="7">
        <v>13</v>
      </c>
      <c r="B32" s="7" t="s">
        <v>434</v>
      </c>
      <c r="C32" s="7"/>
      <c r="D32" s="66"/>
      <c r="E32" s="7" t="s">
        <v>432</v>
      </c>
    </row>
    <row r="33" spans="1:5" x14ac:dyDescent="0.3">
      <c r="A33" s="7">
        <v>14</v>
      </c>
      <c r="B33" s="7" t="s">
        <v>433</v>
      </c>
      <c r="C33" s="7"/>
      <c r="D33" s="66"/>
      <c r="E33" s="7" t="s">
        <v>432</v>
      </c>
    </row>
    <row r="34" spans="1:5" x14ac:dyDescent="0.3">
      <c r="A34" s="7">
        <v>15</v>
      </c>
      <c r="B34" s="7" t="s">
        <v>431</v>
      </c>
      <c r="C34" s="7"/>
      <c r="D34" s="66"/>
      <c r="E34" s="7"/>
    </row>
    <row r="35" spans="1:5" x14ac:dyDescent="0.3">
      <c r="A35" s="7">
        <v>16</v>
      </c>
      <c r="B35" s="7" t="s">
        <v>430</v>
      </c>
      <c r="C35" s="7"/>
      <c r="D35" s="66"/>
      <c r="E35" s="7"/>
    </row>
    <row r="36" spans="1:5" x14ac:dyDescent="0.3">
      <c r="A36" s="7">
        <v>17</v>
      </c>
      <c r="B36" s="7" t="s">
        <v>429</v>
      </c>
      <c r="C36" s="7"/>
      <c r="D36" s="66"/>
      <c r="E36" s="7"/>
    </row>
    <row r="37" spans="1:5" x14ac:dyDescent="0.3">
      <c r="A37" s="7">
        <v>18</v>
      </c>
      <c r="B37" s="7" t="s">
        <v>428</v>
      </c>
      <c r="C37" s="7"/>
      <c r="D37" s="66"/>
      <c r="E37" s="7"/>
    </row>
    <row r="38" spans="1:5" x14ac:dyDescent="0.3">
      <c r="A38" s="7">
        <v>19</v>
      </c>
      <c r="B38" s="7" t="s">
        <v>427</v>
      </c>
      <c r="C38" s="7"/>
      <c r="D38" s="66"/>
      <c r="E38" s="7"/>
    </row>
    <row r="39" spans="1:5" x14ac:dyDescent="0.3">
      <c r="A39" s="7">
        <v>20</v>
      </c>
      <c r="B39" s="7" t="s">
        <v>426</v>
      </c>
      <c r="C39" s="7"/>
      <c r="D39" s="66"/>
      <c r="E39" s="7"/>
    </row>
    <row r="40" spans="1:5" x14ac:dyDescent="0.3">
      <c r="A40" s="7">
        <v>21</v>
      </c>
      <c r="B40" s="7" t="s">
        <v>425</v>
      </c>
      <c r="C40" s="7"/>
      <c r="D40" s="66"/>
      <c r="E40" s="7"/>
    </row>
    <row r="41" spans="1:5" x14ac:dyDescent="0.3">
      <c r="A41" s="7">
        <v>22</v>
      </c>
      <c r="B41" s="7" t="s">
        <v>424</v>
      </c>
      <c r="C41" s="7"/>
      <c r="D41" s="66"/>
      <c r="E41" s="7"/>
    </row>
    <row r="42" spans="1:5" x14ac:dyDescent="0.3">
      <c r="A42" s="7">
        <v>23</v>
      </c>
      <c r="B42" s="7" t="s">
        <v>423</v>
      </c>
      <c r="C42" s="7"/>
      <c r="D42" s="66"/>
      <c r="E42" s="7"/>
    </row>
    <row r="43" spans="1:5" x14ac:dyDescent="0.3">
      <c r="A43" s="7">
        <v>24</v>
      </c>
      <c r="B43" s="7" t="s">
        <v>422</v>
      </c>
      <c r="C43" s="7"/>
      <c r="D43" s="66"/>
      <c r="E43" s="7"/>
    </row>
    <row r="44" spans="1:5" x14ac:dyDescent="0.3">
      <c r="A44" s="7">
        <v>25</v>
      </c>
      <c r="B44" s="7" t="s">
        <v>421</v>
      </c>
      <c r="C44" s="7"/>
      <c r="D44" s="66"/>
      <c r="E44" s="7"/>
    </row>
    <row r="45" spans="1:5" x14ac:dyDescent="0.3">
      <c r="A45" s="7"/>
      <c r="B45" s="7"/>
      <c r="C45" s="7"/>
      <c r="D45" s="66"/>
      <c r="E45" s="7"/>
    </row>
    <row r="46" spans="1:5" x14ac:dyDescent="0.3">
      <c r="A46" s="7">
        <v>1</v>
      </c>
      <c r="B46" s="7" t="s">
        <v>420</v>
      </c>
      <c r="C46" s="7" t="s">
        <v>419</v>
      </c>
      <c r="D46" s="66">
        <v>8</v>
      </c>
      <c r="E46" s="7"/>
    </row>
    <row r="47" spans="1:5" x14ac:dyDescent="0.3">
      <c r="A47" s="7">
        <v>2</v>
      </c>
      <c r="B47" s="7" t="s">
        <v>418</v>
      </c>
      <c r="C47" s="7"/>
      <c r="D47" s="66"/>
      <c r="E47" s="7"/>
    </row>
    <row r="48" spans="1:5" x14ac:dyDescent="0.3">
      <c r="A48" s="7">
        <v>3</v>
      </c>
      <c r="B48" s="7" t="s">
        <v>417</v>
      </c>
      <c r="C48" s="7"/>
      <c r="D48" s="66"/>
      <c r="E48" s="7"/>
    </row>
    <row r="49" spans="1:5" x14ac:dyDescent="0.3">
      <c r="A49" s="7">
        <v>4</v>
      </c>
      <c r="B49" s="7" t="s">
        <v>416</v>
      </c>
      <c r="C49" s="7"/>
      <c r="D49" s="66"/>
      <c r="E49" s="7"/>
    </row>
    <row r="50" spans="1:5" x14ac:dyDescent="0.3">
      <c r="A50" s="7">
        <v>5</v>
      </c>
      <c r="B50" s="7" t="s">
        <v>415</v>
      </c>
      <c r="C50" s="7"/>
      <c r="D50" s="66"/>
      <c r="E50" s="7"/>
    </row>
    <row r="51" spans="1:5" x14ac:dyDescent="0.3">
      <c r="A51" s="7">
        <v>6</v>
      </c>
      <c r="B51" s="7" t="s">
        <v>414</v>
      </c>
      <c r="C51" s="7"/>
      <c r="D51" s="66"/>
      <c r="E51" s="7"/>
    </row>
    <row r="52" spans="1:5" x14ac:dyDescent="0.3">
      <c r="A52" s="7">
        <v>7</v>
      </c>
      <c r="B52" s="7" t="s">
        <v>413</v>
      </c>
      <c r="C52" s="7"/>
      <c r="D52" s="66"/>
      <c r="E52" s="7"/>
    </row>
    <row r="53" spans="1:5" x14ac:dyDescent="0.3">
      <c r="A53" s="7">
        <v>8</v>
      </c>
      <c r="B53" s="7" t="s">
        <v>412</v>
      </c>
      <c r="C53" s="7"/>
      <c r="D53" s="66"/>
      <c r="E53" s="7"/>
    </row>
    <row r="54" spans="1:5" x14ac:dyDescent="0.3">
      <c r="A54" s="7">
        <v>9</v>
      </c>
      <c r="B54" s="7" t="s">
        <v>411</v>
      </c>
      <c r="C54" s="7"/>
      <c r="D54" s="66"/>
      <c r="E54" s="7"/>
    </row>
    <row r="55" spans="1:5" x14ac:dyDescent="0.3">
      <c r="A55" s="7">
        <v>10</v>
      </c>
      <c r="B55" s="7" t="s">
        <v>410</v>
      </c>
      <c r="C55" s="7"/>
      <c r="D55" s="66"/>
      <c r="E55" s="7"/>
    </row>
    <row r="56" spans="1:5" x14ac:dyDescent="0.3">
      <c r="A56" s="7"/>
      <c r="B56" s="7"/>
      <c r="C56" s="7"/>
      <c r="D56" s="66"/>
      <c r="E56" s="7"/>
    </row>
    <row r="57" spans="1:5" x14ac:dyDescent="0.3">
      <c r="A57" s="7">
        <v>1</v>
      </c>
      <c r="B57" s="7" t="s">
        <v>409</v>
      </c>
      <c r="C57" s="7" t="s">
        <v>408</v>
      </c>
      <c r="D57" s="66">
        <v>9</v>
      </c>
      <c r="E57" s="7"/>
    </row>
    <row r="58" spans="1:5" x14ac:dyDescent="0.3">
      <c r="A58" s="7">
        <v>2</v>
      </c>
      <c r="B58" s="7" t="s">
        <v>407</v>
      </c>
      <c r="C58" s="7"/>
      <c r="D58" s="66"/>
      <c r="E58" s="7"/>
    </row>
    <row r="59" spans="1:5" x14ac:dyDescent="0.3">
      <c r="A59" s="7">
        <v>3</v>
      </c>
      <c r="B59" s="7" t="s">
        <v>406</v>
      </c>
      <c r="C59" s="7"/>
      <c r="D59" s="66"/>
      <c r="E59" s="7"/>
    </row>
    <row r="60" spans="1:5" x14ac:dyDescent="0.3">
      <c r="A60" s="7">
        <v>4</v>
      </c>
      <c r="B60" s="7" t="s">
        <v>405</v>
      </c>
      <c r="C60" s="7"/>
      <c r="D60" s="66"/>
      <c r="E60" s="7"/>
    </row>
    <row r="61" spans="1:5" x14ac:dyDescent="0.3">
      <c r="A61" s="7">
        <v>5</v>
      </c>
      <c r="B61" s="7" t="s">
        <v>404</v>
      </c>
      <c r="C61" s="7"/>
      <c r="D61" s="66"/>
      <c r="E61" s="7"/>
    </row>
    <row r="62" spans="1:5" x14ac:dyDescent="0.3">
      <c r="A62" s="7">
        <v>6</v>
      </c>
      <c r="B62" s="7" t="s">
        <v>403</v>
      </c>
      <c r="C62" s="7"/>
      <c r="D62" s="66"/>
      <c r="E62" s="7"/>
    </row>
    <row r="63" spans="1:5" x14ac:dyDescent="0.3">
      <c r="A63" s="7">
        <v>7</v>
      </c>
      <c r="B63" s="7" t="s">
        <v>402</v>
      </c>
      <c r="C63" s="7"/>
      <c r="D63" s="66"/>
      <c r="E63" s="7"/>
    </row>
    <row r="64" spans="1:5" x14ac:dyDescent="0.3">
      <c r="A64" s="7">
        <v>8</v>
      </c>
      <c r="B64" s="7" t="s">
        <v>401</v>
      </c>
      <c r="C64" s="7"/>
      <c r="D64" s="66"/>
      <c r="E64" s="7"/>
    </row>
    <row r="65" spans="1:5" x14ac:dyDescent="0.3">
      <c r="A65" s="7"/>
      <c r="B65" s="7"/>
      <c r="C65" s="7"/>
      <c r="D65" s="66"/>
      <c r="E65" s="7"/>
    </row>
    <row r="66" spans="1:5" x14ac:dyDescent="0.3">
      <c r="A66" s="7">
        <v>1</v>
      </c>
      <c r="B66" s="7" t="s">
        <v>400</v>
      </c>
      <c r="C66" s="7"/>
      <c r="D66" s="66">
        <v>10</v>
      </c>
      <c r="E66" s="7"/>
    </row>
    <row r="67" spans="1:5" x14ac:dyDescent="0.3">
      <c r="A67" s="7">
        <v>2</v>
      </c>
      <c r="B67" s="7" t="s">
        <v>399</v>
      </c>
      <c r="C67" s="7"/>
      <c r="D67" s="66"/>
      <c r="E67" s="7"/>
    </row>
    <row r="68" spans="1:5" x14ac:dyDescent="0.3">
      <c r="A68" s="7">
        <v>3</v>
      </c>
      <c r="B68" s="7" t="s">
        <v>398</v>
      </c>
      <c r="C68" s="7"/>
      <c r="D68" s="66"/>
      <c r="E68" s="7"/>
    </row>
    <row r="69" spans="1:5" x14ac:dyDescent="0.3">
      <c r="A69" s="7">
        <v>4</v>
      </c>
      <c r="B69" s="7" t="s">
        <v>397</v>
      </c>
      <c r="C69" s="7"/>
      <c r="D69" s="66"/>
      <c r="E69" s="7"/>
    </row>
    <row r="70" spans="1:5" x14ac:dyDescent="0.3">
      <c r="A70" s="7">
        <v>5</v>
      </c>
      <c r="B70" s="7" t="s">
        <v>396</v>
      </c>
      <c r="C70" s="7"/>
      <c r="D70" s="66"/>
      <c r="E70" s="7"/>
    </row>
    <row r="71" spans="1:5" x14ac:dyDescent="0.3">
      <c r="A71" s="7">
        <v>6</v>
      </c>
      <c r="B71" s="7" t="s">
        <v>395</v>
      </c>
      <c r="C71" s="7"/>
      <c r="D71" s="66"/>
      <c r="E71" s="7"/>
    </row>
    <row r="72" spans="1:5" x14ac:dyDescent="0.3">
      <c r="A72" s="7">
        <v>7</v>
      </c>
      <c r="B72" s="67" t="s">
        <v>394</v>
      </c>
      <c r="C72" s="7"/>
      <c r="D72" s="66"/>
      <c r="E72" s="7"/>
    </row>
    <row r="73" spans="1:5" x14ac:dyDescent="0.3">
      <c r="A73" s="7">
        <v>8</v>
      </c>
      <c r="B73" s="67" t="s">
        <v>393</v>
      </c>
      <c r="C73" s="7"/>
      <c r="D73" s="66"/>
      <c r="E73" s="7"/>
    </row>
    <row r="74" spans="1:5" x14ac:dyDescent="0.3">
      <c r="A74" s="7"/>
      <c r="B74" s="7"/>
      <c r="C74" s="7"/>
      <c r="D74" s="66"/>
      <c r="E74" s="7"/>
    </row>
    <row r="75" spans="1:5" x14ac:dyDescent="0.3">
      <c r="A75" s="7">
        <v>1</v>
      </c>
      <c r="B75" s="7" t="s">
        <v>392</v>
      </c>
      <c r="C75" s="7" t="s">
        <v>391</v>
      </c>
      <c r="D75" s="66">
        <v>11</v>
      </c>
      <c r="E75" s="7"/>
    </row>
    <row r="76" spans="1:5" x14ac:dyDescent="0.3">
      <c r="A76" s="7">
        <v>2</v>
      </c>
      <c r="B76" s="7" t="s">
        <v>390</v>
      </c>
      <c r="C76" s="7"/>
      <c r="D76" s="66"/>
      <c r="E76" s="7"/>
    </row>
    <row r="77" spans="1:5" x14ac:dyDescent="0.3">
      <c r="A77" s="7">
        <v>3</v>
      </c>
      <c r="B77" s="7" t="s">
        <v>389</v>
      </c>
      <c r="C77" s="7" t="s">
        <v>363</v>
      </c>
      <c r="D77" s="66"/>
      <c r="E77" s="7"/>
    </row>
    <row r="78" spans="1:5" x14ac:dyDescent="0.3">
      <c r="A78" s="7">
        <v>4</v>
      </c>
      <c r="B78" s="7" t="s">
        <v>388</v>
      </c>
      <c r="C78" s="7"/>
      <c r="D78" s="66"/>
      <c r="E78" s="7"/>
    </row>
    <row r="79" spans="1:5" x14ac:dyDescent="0.3">
      <c r="A79" s="7">
        <v>5</v>
      </c>
      <c r="B79" s="7" t="s">
        <v>387</v>
      </c>
      <c r="C79" s="7"/>
      <c r="D79" s="66"/>
      <c r="E79" s="7"/>
    </row>
    <row r="80" spans="1:5" x14ac:dyDescent="0.3">
      <c r="A80" s="7">
        <v>6</v>
      </c>
      <c r="B80" s="7" t="s">
        <v>386</v>
      </c>
      <c r="C80" s="7" t="s">
        <v>385</v>
      </c>
      <c r="D80" s="66"/>
      <c r="E80" s="7"/>
    </row>
    <row r="81" spans="1:5" x14ac:dyDescent="0.3">
      <c r="A81" s="7">
        <v>7</v>
      </c>
      <c r="B81" s="7" t="s">
        <v>384</v>
      </c>
      <c r="C81" s="7"/>
      <c r="D81" s="66"/>
      <c r="E81" s="7"/>
    </row>
    <row r="82" spans="1:5" x14ac:dyDescent="0.3">
      <c r="A82" s="7">
        <v>8</v>
      </c>
      <c r="B82" s="7" t="s">
        <v>383</v>
      </c>
      <c r="C82" s="7"/>
      <c r="D82" s="66"/>
      <c r="E82" s="7"/>
    </row>
    <row r="83" spans="1:5" x14ac:dyDescent="0.3">
      <c r="A83" s="7">
        <v>9</v>
      </c>
      <c r="B83" s="7" t="s">
        <v>382</v>
      </c>
      <c r="C83" s="7" t="s">
        <v>381</v>
      </c>
      <c r="D83" s="66"/>
      <c r="E83" s="7"/>
    </row>
    <row r="84" spans="1:5" x14ac:dyDescent="0.3">
      <c r="A84" s="7">
        <v>10</v>
      </c>
      <c r="B84" s="7" t="s">
        <v>380</v>
      </c>
      <c r="C84" s="7" t="s">
        <v>379</v>
      </c>
      <c r="D84" s="66"/>
      <c r="E84" s="7"/>
    </row>
    <row r="85" spans="1:5" x14ac:dyDescent="0.3">
      <c r="A85" s="7">
        <v>11</v>
      </c>
      <c r="B85" s="7" t="s">
        <v>378</v>
      </c>
      <c r="C85" s="7" t="s">
        <v>377</v>
      </c>
      <c r="D85" s="66"/>
      <c r="E85" s="7"/>
    </row>
    <row r="86" spans="1:5" x14ac:dyDescent="0.3">
      <c r="A86" s="7">
        <v>12</v>
      </c>
      <c r="B86" s="7" t="s">
        <v>376</v>
      </c>
      <c r="C86" s="7"/>
      <c r="D86" s="66"/>
      <c r="E86" s="7"/>
    </row>
    <row r="87" spans="1:5" x14ac:dyDescent="0.3">
      <c r="A87" s="7"/>
      <c r="B87" s="7"/>
      <c r="C87" s="7"/>
      <c r="D87" s="66"/>
      <c r="E87" s="7"/>
    </row>
    <row r="88" spans="1:5" x14ac:dyDescent="0.3">
      <c r="A88" s="7">
        <v>1</v>
      </c>
      <c r="B88" s="7" t="s">
        <v>375</v>
      </c>
      <c r="C88" s="7" t="s">
        <v>374</v>
      </c>
      <c r="D88" s="66">
        <v>12</v>
      </c>
      <c r="E88" s="7"/>
    </row>
    <row r="89" spans="1:5" x14ac:dyDescent="0.3">
      <c r="A89" s="7">
        <v>2</v>
      </c>
      <c r="B89" s="7" t="s">
        <v>373</v>
      </c>
      <c r="C89" s="7" t="s">
        <v>372</v>
      </c>
      <c r="D89" s="66"/>
      <c r="E89" s="7"/>
    </row>
    <row r="90" spans="1:5" x14ac:dyDescent="0.3">
      <c r="A90" s="7">
        <v>3</v>
      </c>
      <c r="B90" s="7" t="s">
        <v>371</v>
      </c>
      <c r="C90" s="7"/>
      <c r="D90" s="66"/>
      <c r="E90" s="7"/>
    </row>
    <row r="91" spans="1:5" x14ac:dyDescent="0.3">
      <c r="A91" s="7">
        <v>4</v>
      </c>
      <c r="B91" s="7" t="s">
        <v>370</v>
      </c>
      <c r="C91" s="7"/>
      <c r="D91" s="66"/>
      <c r="E91" s="7"/>
    </row>
    <row r="92" spans="1:5" x14ac:dyDescent="0.3">
      <c r="A92" s="7">
        <v>5</v>
      </c>
      <c r="B92" s="7" t="s">
        <v>369</v>
      </c>
      <c r="C92" s="7"/>
      <c r="D92" s="66"/>
      <c r="E92" s="7"/>
    </row>
    <row r="93" spans="1:5" x14ac:dyDescent="0.3">
      <c r="A93" s="7">
        <v>6</v>
      </c>
      <c r="B93" s="7" t="s">
        <v>368</v>
      </c>
      <c r="C93" s="7"/>
      <c r="D93" s="66"/>
      <c r="E93" s="7"/>
    </row>
    <row r="94" spans="1:5" x14ac:dyDescent="0.3">
      <c r="A94" s="7">
        <v>7</v>
      </c>
      <c r="B94" s="7" t="s">
        <v>367</v>
      </c>
      <c r="C94" s="7" t="s">
        <v>366</v>
      </c>
      <c r="D94" s="66"/>
      <c r="E94" s="7"/>
    </row>
    <row r="95" spans="1:5" x14ac:dyDescent="0.3">
      <c r="A95" s="7">
        <v>8</v>
      </c>
      <c r="B95" s="7" t="s">
        <v>365</v>
      </c>
      <c r="C95" s="7"/>
      <c r="D95" s="66"/>
      <c r="E95" s="7"/>
    </row>
    <row r="96" spans="1:5" x14ac:dyDescent="0.3">
      <c r="A96" s="7"/>
      <c r="B96" s="7"/>
      <c r="C96" s="7"/>
      <c r="D96" s="66"/>
      <c r="E96" s="7"/>
    </row>
    <row r="97" spans="1:5" x14ac:dyDescent="0.3">
      <c r="A97" s="7">
        <v>1</v>
      </c>
      <c r="B97" s="7" t="s">
        <v>364</v>
      </c>
      <c r="C97" s="7" t="s">
        <v>363</v>
      </c>
      <c r="D97" s="66">
        <v>12</v>
      </c>
      <c r="E97" s="7"/>
    </row>
    <row r="98" spans="1:5" x14ac:dyDescent="0.3">
      <c r="A98" s="7"/>
      <c r="B98" s="7" t="s">
        <v>362</v>
      </c>
      <c r="C98" s="7"/>
      <c r="D98" s="66"/>
      <c r="E98" s="7"/>
    </row>
    <row r="99" spans="1:5" x14ac:dyDescent="0.3">
      <c r="A99" s="7"/>
      <c r="B99" s="7" t="s">
        <v>361</v>
      </c>
      <c r="C99" s="7"/>
      <c r="D99" s="66"/>
      <c r="E99" s="7"/>
    </row>
    <row r="100" spans="1:5" x14ac:dyDescent="0.3">
      <c r="A100" s="7"/>
      <c r="B100" s="7" t="s">
        <v>360</v>
      </c>
      <c r="C100" s="7"/>
      <c r="D100" s="66"/>
      <c r="E100" s="7"/>
    </row>
    <row r="101" spans="1:5" x14ac:dyDescent="0.3">
      <c r="A101" s="7"/>
      <c r="B101" s="7"/>
      <c r="C101" s="7"/>
      <c r="D101" s="66"/>
      <c r="E101" s="7"/>
    </row>
    <row r="102" spans="1:5" x14ac:dyDescent="0.3">
      <c r="A102" s="7">
        <v>2</v>
      </c>
      <c r="B102" s="7" t="s">
        <v>359</v>
      </c>
      <c r="C102" s="7"/>
      <c r="D102" s="66"/>
      <c r="E102" s="7"/>
    </row>
    <row r="103" spans="1:5" x14ac:dyDescent="0.3">
      <c r="A103" s="7"/>
      <c r="B103" s="7" t="s">
        <v>358</v>
      </c>
      <c r="C103" s="7"/>
      <c r="D103" s="66"/>
      <c r="E103" s="7"/>
    </row>
    <row r="104" spans="1:5" x14ac:dyDescent="0.3">
      <c r="A104" s="7"/>
      <c r="B104" s="7"/>
      <c r="C104" s="7"/>
      <c r="D104" s="66"/>
      <c r="E104" s="7"/>
    </row>
    <row r="105" spans="1:5" x14ac:dyDescent="0.3">
      <c r="A105" s="7">
        <v>3</v>
      </c>
      <c r="B105" s="7" t="s">
        <v>357</v>
      </c>
      <c r="C105" s="7"/>
      <c r="D105" s="66"/>
      <c r="E105" s="7"/>
    </row>
    <row r="106" spans="1:5" x14ac:dyDescent="0.3">
      <c r="A106" s="7">
        <v>4</v>
      </c>
      <c r="B106" s="7" t="s">
        <v>356</v>
      </c>
      <c r="C106" s="7"/>
      <c r="D106" s="66"/>
      <c r="E106" s="7"/>
    </row>
    <row r="107" spans="1:5" x14ac:dyDescent="0.3">
      <c r="A107" s="7"/>
      <c r="B107" s="7"/>
      <c r="C107" s="7"/>
      <c r="D107" s="66"/>
      <c r="E107" s="7"/>
    </row>
    <row r="108" spans="1:5" x14ac:dyDescent="0.3">
      <c r="A108" s="7">
        <v>1</v>
      </c>
      <c r="B108" s="7" t="s">
        <v>355</v>
      </c>
      <c r="C108" s="7" t="s">
        <v>354</v>
      </c>
      <c r="D108" s="66">
        <v>12</v>
      </c>
      <c r="E108" s="7"/>
    </row>
    <row r="109" spans="1:5" x14ac:dyDescent="0.3">
      <c r="A109" s="7"/>
      <c r="B109" s="7" t="s">
        <v>353</v>
      </c>
      <c r="C109" s="7"/>
      <c r="D109" s="66"/>
      <c r="E109" s="7"/>
    </row>
    <row r="110" spans="1:5" x14ac:dyDescent="0.3">
      <c r="A110" s="7"/>
      <c r="B110" s="7" t="s">
        <v>352</v>
      </c>
      <c r="C110" s="7"/>
      <c r="D110" s="66"/>
      <c r="E110" s="7"/>
    </row>
    <row r="111" spans="1:5" x14ac:dyDescent="0.3">
      <c r="A111" s="7"/>
      <c r="B111" s="7" t="s">
        <v>351</v>
      </c>
      <c r="C111" s="7"/>
      <c r="D111" s="66"/>
      <c r="E111" s="7"/>
    </row>
    <row r="112" spans="1:5" x14ac:dyDescent="0.3">
      <c r="A112" s="7">
        <v>2</v>
      </c>
      <c r="B112" s="7" t="s">
        <v>350</v>
      </c>
      <c r="C112" s="7"/>
      <c r="D112" s="66"/>
      <c r="E112" s="7"/>
    </row>
    <row r="113" spans="1:5" x14ac:dyDescent="0.3">
      <c r="A113" s="7"/>
      <c r="B113" s="7" t="s">
        <v>349</v>
      </c>
      <c r="C113" s="7"/>
      <c r="D113" s="66"/>
      <c r="E113" s="7"/>
    </row>
    <row r="114" spans="1:5" x14ac:dyDescent="0.3">
      <c r="A114" s="7"/>
      <c r="B114" s="7" t="s">
        <v>348</v>
      </c>
      <c r="C114" s="7"/>
      <c r="D114" s="66"/>
      <c r="E114" s="7"/>
    </row>
    <row r="115" spans="1:5" x14ac:dyDescent="0.3">
      <c r="A115" s="7"/>
      <c r="B115" s="7" t="s">
        <v>347</v>
      </c>
      <c r="C115" s="7"/>
      <c r="D115" s="66"/>
      <c r="E115" s="7"/>
    </row>
    <row r="116" spans="1:5" x14ac:dyDescent="0.3">
      <c r="A116" s="7">
        <v>3</v>
      </c>
      <c r="B116" s="7" t="s">
        <v>346</v>
      </c>
      <c r="C116" s="7"/>
      <c r="D116" s="66"/>
      <c r="E116" s="7"/>
    </row>
    <row r="117" spans="1:5" x14ac:dyDescent="0.3">
      <c r="A117" s="7"/>
      <c r="B117" s="7" t="s">
        <v>345</v>
      </c>
      <c r="C117" s="7"/>
      <c r="D117" s="66"/>
      <c r="E117" s="7"/>
    </row>
    <row r="118" spans="1:5" x14ac:dyDescent="0.3">
      <c r="A118" s="7"/>
      <c r="B118" s="7" t="s">
        <v>344</v>
      </c>
      <c r="C118" s="7"/>
      <c r="D118" s="66"/>
      <c r="E118" s="7"/>
    </row>
    <row r="119" spans="1:5" x14ac:dyDescent="0.3">
      <c r="A119" s="7">
        <v>4</v>
      </c>
      <c r="B119" s="7" t="s">
        <v>343</v>
      </c>
      <c r="C119" s="7"/>
      <c r="D119" s="66"/>
      <c r="E119" s="7"/>
    </row>
    <row r="120" spans="1:5" x14ac:dyDescent="0.3">
      <c r="A120" s="7"/>
      <c r="B120" s="7" t="s">
        <v>342</v>
      </c>
      <c r="C120" s="7"/>
      <c r="D120" s="66"/>
      <c r="E120" s="7"/>
    </row>
    <row r="121" spans="1:5" x14ac:dyDescent="0.3">
      <c r="A121" s="7"/>
      <c r="B121" s="7"/>
      <c r="C121" s="7"/>
      <c r="D121" s="66"/>
      <c r="E121" s="7"/>
    </row>
    <row r="122" spans="1:5" x14ac:dyDescent="0.3">
      <c r="A122" s="7">
        <v>1</v>
      </c>
      <c r="B122" s="7" t="s">
        <v>341</v>
      </c>
      <c r="C122" s="7"/>
      <c r="D122" s="66">
        <v>13</v>
      </c>
      <c r="E122" s="7"/>
    </row>
    <row r="123" spans="1:5" x14ac:dyDescent="0.3">
      <c r="A123" s="7">
        <v>2</v>
      </c>
      <c r="B123" s="7" t="s">
        <v>340</v>
      </c>
      <c r="C123" s="7"/>
      <c r="D123" s="66"/>
      <c r="E123" s="7"/>
    </row>
    <row r="124" spans="1:5" x14ac:dyDescent="0.3">
      <c r="A124" s="7">
        <v>3</v>
      </c>
      <c r="B124" s="7" t="s">
        <v>339</v>
      </c>
      <c r="C124" s="7"/>
      <c r="D124" s="66"/>
      <c r="E124" s="7"/>
    </row>
    <row r="125" spans="1:5" x14ac:dyDescent="0.3">
      <c r="A125" s="7">
        <v>4</v>
      </c>
      <c r="B125" s="7" t="s">
        <v>338</v>
      </c>
      <c r="C125" s="7"/>
      <c r="D125" s="66"/>
      <c r="E125" s="7"/>
    </row>
    <row r="126" spans="1:5" x14ac:dyDescent="0.3">
      <c r="A126" s="7">
        <v>5</v>
      </c>
      <c r="B126" s="7" t="s">
        <v>337</v>
      </c>
      <c r="C126" s="7"/>
      <c r="D126" s="66"/>
      <c r="E126" s="7"/>
    </row>
    <row r="127" spans="1:5" x14ac:dyDescent="0.3">
      <c r="A127" s="7">
        <v>6</v>
      </c>
      <c r="B127" s="7" t="s">
        <v>336</v>
      </c>
      <c r="C127" s="7"/>
      <c r="D127" s="66"/>
      <c r="E127" s="7"/>
    </row>
    <row r="128" spans="1:5" x14ac:dyDescent="0.3">
      <c r="A128" s="7">
        <v>7</v>
      </c>
      <c r="B128" s="7" t="s">
        <v>335</v>
      </c>
      <c r="C128" s="7"/>
      <c r="D128" s="66"/>
      <c r="E128" s="7"/>
    </row>
    <row r="129" spans="1:5" x14ac:dyDescent="0.3">
      <c r="A129" s="7"/>
      <c r="B129" s="7"/>
      <c r="C129" s="7"/>
      <c r="D129" s="66"/>
      <c r="E129" s="7"/>
    </row>
    <row r="130" spans="1:5" x14ac:dyDescent="0.3">
      <c r="A130" s="7"/>
      <c r="B130" s="7" t="s">
        <v>334</v>
      </c>
      <c r="C130" s="7" t="s">
        <v>333</v>
      </c>
      <c r="D130" s="66">
        <v>14</v>
      </c>
      <c r="E130" s="7"/>
    </row>
    <row r="131" spans="1:5" x14ac:dyDescent="0.3">
      <c r="A131" s="7"/>
      <c r="B131" s="7" t="s">
        <v>332</v>
      </c>
      <c r="C131" s="7"/>
      <c r="D131" s="66"/>
      <c r="E131" s="7"/>
    </row>
    <row r="132" spans="1:5" x14ac:dyDescent="0.3">
      <c r="A132" s="7"/>
      <c r="B132" s="7" t="s">
        <v>331</v>
      </c>
      <c r="C132" s="7"/>
      <c r="D132" s="66"/>
      <c r="E132" s="7"/>
    </row>
    <row r="133" spans="1:5" x14ac:dyDescent="0.3">
      <c r="A133" s="7"/>
      <c r="B133" s="7" t="s">
        <v>330</v>
      </c>
      <c r="C133" s="7"/>
      <c r="D133" s="66"/>
      <c r="E133" s="7"/>
    </row>
    <row r="134" spans="1:5" x14ac:dyDescent="0.3">
      <c r="A134" s="7"/>
      <c r="B134" s="7" t="s">
        <v>329</v>
      </c>
      <c r="C134" s="7"/>
      <c r="D134" s="66"/>
      <c r="E134" s="7"/>
    </row>
    <row r="135" spans="1:5" x14ac:dyDescent="0.3">
      <c r="A135" s="7"/>
      <c r="B135" s="7" t="s">
        <v>328</v>
      </c>
      <c r="C135" s="7"/>
      <c r="D135" s="66"/>
      <c r="E135" s="7"/>
    </row>
    <row r="136" spans="1:5" x14ac:dyDescent="0.3">
      <c r="A136" s="7"/>
      <c r="B136" s="7" t="s">
        <v>327</v>
      </c>
      <c r="C136" s="7"/>
      <c r="D136" s="66"/>
      <c r="E136" s="7"/>
    </row>
    <row r="137" spans="1:5" x14ac:dyDescent="0.3">
      <c r="A137" s="7"/>
      <c r="B137" s="7" t="s">
        <v>326</v>
      </c>
      <c r="C137" s="7"/>
      <c r="D137" s="66"/>
      <c r="E137" s="7"/>
    </row>
    <row r="138" spans="1:5" x14ac:dyDescent="0.3">
      <c r="A138" s="7"/>
      <c r="B138" s="7" t="s">
        <v>325</v>
      </c>
      <c r="C138" s="7"/>
      <c r="D138" s="66"/>
      <c r="E138" s="7"/>
    </row>
    <row r="139" spans="1:5" x14ac:dyDescent="0.3">
      <c r="A139" s="7"/>
      <c r="B139" s="7" t="s">
        <v>324</v>
      </c>
      <c r="C139" s="7"/>
      <c r="D139" s="66"/>
      <c r="E139" s="7"/>
    </row>
    <row r="140" spans="1:5" x14ac:dyDescent="0.3">
      <c r="A140" s="7"/>
      <c r="B140" s="7" t="s">
        <v>323</v>
      </c>
      <c r="C140" s="7"/>
      <c r="D140" s="66"/>
      <c r="E140" s="7"/>
    </row>
    <row r="141" spans="1:5" x14ac:dyDescent="0.3">
      <c r="A141" s="7"/>
      <c r="B141" s="7" t="s">
        <v>322</v>
      </c>
      <c r="C141" s="7"/>
      <c r="D141" s="66"/>
      <c r="E141" s="7"/>
    </row>
    <row r="142" spans="1:5" x14ac:dyDescent="0.3">
      <c r="A142" s="7"/>
      <c r="B142" s="7" t="s">
        <v>321</v>
      </c>
      <c r="C142" s="7"/>
      <c r="D142" s="66"/>
      <c r="E142" s="7"/>
    </row>
    <row r="143" spans="1:5" x14ac:dyDescent="0.3">
      <c r="A143" s="7"/>
      <c r="B143" s="7" t="s">
        <v>320</v>
      </c>
      <c r="C143" s="7"/>
      <c r="D143" s="66"/>
      <c r="E143" s="7"/>
    </row>
    <row r="144" spans="1:5" x14ac:dyDescent="0.3">
      <c r="A144" s="7"/>
      <c r="B144" s="7" t="s">
        <v>319</v>
      </c>
      <c r="C144" s="7"/>
      <c r="D144" s="66"/>
      <c r="E144" s="7"/>
    </row>
    <row r="145" spans="1:5" x14ac:dyDescent="0.3">
      <c r="A145" s="7"/>
      <c r="B145" s="7" t="s">
        <v>318</v>
      </c>
      <c r="C145" s="7"/>
      <c r="D145" s="66"/>
      <c r="E145" s="7"/>
    </row>
    <row r="146" spans="1:5" x14ac:dyDescent="0.3">
      <c r="A146" s="7"/>
      <c r="B146" s="7" t="s">
        <v>317</v>
      </c>
      <c r="C146" s="7"/>
      <c r="D146" s="66"/>
      <c r="E146" s="7"/>
    </row>
    <row r="147" spans="1:5" x14ac:dyDescent="0.3">
      <c r="A147" s="7"/>
      <c r="B147" s="7" t="s">
        <v>316</v>
      </c>
      <c r="C147" s="7"/>
      <c r="D147" s="66"/>
      <c r="E147" s="7"/>
    </row>
    <row r="148" spans="1:5" x14ac:dyDescent="0.3">
      <c r="A148" s="7"/>
      <c r="B148" s="7" t="s">
        <v>315</v>
      </c>
      <c r="C148" s="7"/>
      <c r="D148" s="66"/>
      <c r="E148" s="7"/>
    </row>
    <row r="149" spans="1:5" x14ac:dyDescent="0.3">
      <c r="A149" s="7"/>
      <c r="B149" s="7" t="s">
        <v>314</v>
      </c>
      <c r="C149" s="7"/>
      <c r="D149" s="66"/>
      <c r="E149" s="7"/>
    </row>
    <row r="150" spans="1:5" x14ac:dyDescent="0.3">
      <c r="A150" s="7"/>
      <c r="B150" s="7" t="s">
        <v>313</v>
      </c>
      <c r="C150" s="7"/>
      <c r="D150" s="66"/>
      <c r="E150" s="7"/>
    </row>
    <row r="151" spans="1:5" x14ac:dyDescent="0.3">
      <c r="A151" s="7"/>
      <c r="B151" s="7" t="s">
        <v>312</v>
      </c>
      <c r="C151" s="7"/>
      <c r="D151" s="66"/>
      <c r="E151" s="7"/>
    </row>
    <row r="152" spans="1:5" x14ac:dyDescent="0.3">
      <c r="A152" s="7"/>
      <c r="B152" s="7" t="s">
        <v>311</v>
      </c>
      <c r="C152" s="7"/>
      <c r="D152" s="66"/>
      <c r="E152" s="7"/>
    </row>
    <row r="153" spans="1:5" x14ac:dyDescent="0.3">
      <c r="A153" s="7"/>
      <c r="B153" s="7" t="s">
        <v>310</v>
      </c>
      <c r="C153" s="7"/>
      <c r="D153" s="66"/>
      <c r="E153" s="7"/>
    </row>
    <row r="154" spans="1:5" x14ac:dyDescent="0.3">
      <c r="A154" s="7"/>
      <c r="B154" s="7" t="s">
        <v>309</v>
      </c>
      <c r="C154" s="7"/>
      <c r="D154" s="66"/>
      <c r="E154" s="7"/>
    </row>
    <row r="155" spans="1:5" x14ac:dyDescent="0.3">
      <c r="A155" s="7"/>
      <c r="B155" s="7" t="s">
        <v>308</v>
      </c>
      <c r="C155" s="7"/>
      <c r="D155" s="66"/>
      <c r="E155" s="7"/>
    </row>
    <row r="156" spans="1:5" x14ac:dyDescent="0.3">
      <c r="A156" s="7"/>
      <c r="B156" s="7" t="s">
        <v>307</v>
      </c>
      <c r="C156" s="7"/>
      <c r="D156" s="66"/>
      <c r="E156" s="7"/>
    </row>
    <row r="157" spans="1:5" x14ac:dyDescent="0.3">
      <c r="A157" s="7"/>
      <c r="B157" s="7" t="s">
        <v>306</v>
      </c>
      <c r="C157" s="7"/>
      <c r="D157" s="66"/>
      <c r="E157" s="7"/>
    </row>
    <row r="158" spans="1:5" x14ac:dyDescent="0.3">
      <c r="A158" s="7"/>
      <c r="B158" s="7" t="s">
        <v>305</v>
      </c>
      <c r="C158" s="7"/>
      <c r="D158" s="66"/>
      <c r="E158" s="7"/>
    </row>
    <row r="159" spans="1:5" x14ac:dyDescent="0.3">
      <c r="A159" s="7"/>
      <c r="B159" s="7" t="s">
        <v>304</v>
      </c>
      <c r="C159" s="7"/>
      <c r="D159" s="66"/>
      <c r="E159" s="7"/>
    </row>
    <row r="160" spans="1:5" x14ac:dyDescent="0.3">
      <c r="A160" s="7"/>
      <c r="B160" s="7" t="s">
        <v>303</v>
      </c>
      <c r="C160" s="7"/>
      <c r="D160" s="66"/>
      <c r="E160" s="7"/>
    </row>
    <row r="161" spans="1:5" x14ac:dyDescent="0.3">
      <c r="A161" s="7"/>
      <c r="B161" s="7" t="s">
        <v>302</v>
      </c>
      <c r="C161" s="7"/>
      <c r="D161" s="66"/>
      <c r="E161" s="7"/>
    </row>
    <row r="162" spans="1:5" x14ac:dyDescent="0.3">
      <c r="A162" s="7"/>
      <c r="B162" s="7" t="s">
        <v>301</v>
      </c>
      <c r="C162" s="7"/>
      <c r="D162" s="66"/>
      <c r="E162" s="7"/>
    </row>
    <row r="163" spans="1:5" x14ac:dyDescent="0.3">
      <c r="A163" s="7"/>
      <c r="B163" s="7" t="s">
        <v>300</v>
      </c>
      <c r="C163" s="7"/>
      <c r="D163" s="66"/>
      <c r="E163" s="7"/>
    </row>
    <row r="164" spans="1:5" x14ac:dyDescent="0.3">
      <c r="A164" s="7"/>
      <c r="B164" s="7" t="s">
        <v>299</v>
      </c>
      <c r="C164" s="7"/>
      <c r="D164" s="66"/>
      <c r="E164" s="7"/>
    </row>
    <row r="165" spans="1:5" x14ac:dyDescent="0.3">
      <c r="A165" s="7"/>
      <c r="B165" s="7" t="s">
        <v>298</v>
      </c>
      <c r="C165" s="7"/>
      <c r="D165" s="66"/>
      <c r="E165" s="7"/>
    </row>
    <row r="166" spans="1:5" x14ac:dyDescent="0.3">
      <c r="A166" s="7"/>
      <c r="B166" s="7" t="s">
        <v>297</v>
      </c>
      <c r="C166" s="7"/>
      <c r="D166" s="66"/>
      <c r="E166" s="7"/>
    </row>
    <row r="167" spans="1:5" x14ac:dyDescent="0.3">
      <c r="A167" s="7"/>
      <c r="B167" s="7" t="s">
        <v>296</v>
      </c>
      <c r="C167" s="7"/>
      <c r="D167" s="66"/>
      <c r="E167" s="7"/>
    </row>
    <row r="168" spans="1:5" x14ac:dyDescent="0.3">
      <c r="A168" s="7"/>
      <c r="B168" s="7" t="s">
        <v>295</v>
      </c>
      <c r="C168" s="7"/>
      <c r="D168" s="66"/>
      <c r="E168" s="7"/>
    </row>
    <row r="169" spans="1:5" x14ac:dyDescent="0.3">
      <c r="A169" s="7"/>
      <c r="B169" s="7" t="s">
        <v>294</v>
      </c>
      <c r="C169" s="7"/>
      <c r="D169" s="66"/>
      <c r="E169" s="7"/>
    </row>
    <row r="170" spans="1:5" x14ac:dyDescent="0.3">
      <c r="A170" s="7"/>
      <c r="B170" s="7" t="s">
        <v>293</v>
      </c>
      <c r="C170" s="7"/>
      <c r="D170" s="66"/>
      <c r="E170" s="7"/>
    </row>
    <row r="171" spans="1:5" x14ac:dyDescent="0.3">
      <c r="A171" s="7"/>
      <c r="B171" s="7" t="s">
        <v>292</v>
      </c>
      <c r="C171" s="7"/>
      <c r="D171" s="66"/>
      <c r="E171" s="7"/>
    </row>
    <row r="172" spans="1:5" x14ac:dyDescent="0.3">
      <c r="A172" s="7"/>
      <c r="B172" s="7" t="s">
        <v>291</v>
      </c>
      <c r="C172" s="7"/>
      <c r="D172" s="66"/>
      <c r="E172" s="7"/>
    </row>
    <row r="173" spans="1:5" x14ac:dyDescent="0.3">
      <c r="A173" s="7"/>
      <c r="B173" s="7" t="s">
        <v>290</v>
      </c>
      <c r="C173" s="7"/>
      <c r="D173" s="66"/>
      <c r="E173" s="7"/>
    </row>
    <row r="174" spans="1:5" x14ac:dyDescent="0.3">
      <c r="A174" s="7"/>
      <c r="B174" s="7" t="s">
        <v>289</v>
      </c>
      <c r="C174" s="7"/>
      <c r="D174" s="66"/>
      <c r="E174" s="7"/>
    </row>
    <row r="175" spans="1:5" x14ac:dyDescent="0.3">
      <c r="A175" s="7"/>
      <c r="B175" s="7" t="s">
        <v>288</v>
      </c>
      <c r="C175" s="7"/>
      <c r="D175" s="66"/>
      <c r="E175" s="7"/>
    </row>
    <row r="176" spans="1:5" x14ac:dyDescent="0.3">
      <c r="A176" s="7"/>
      <c r="B176" s="7" t="s">
        <v>287</v>
      </c>
      <c r="C176" s="7"/>
      <c r="D176" s="66"/>
      <c r="E176" s="7"/>
    </row>
    <row r="177" spans="1:5" x14ac:dyDescent="0.3">
      <c r="A177" s="7"/>
      <c r="B177" s="7" t="s">
        <v>286</v>
      </c>
      <c r="C177" s="7"/>
      <c r="D177" s="66"/>
      <c r="E177" s="7"/>
    </row>
    <row r="178" spans="1:5" x14ac:dyDescent="0.3">
      <c r="A178" s="7"/>
      <c r="B178" s="7" t="s">
        <v>285</v>
      </c>
      <c r="C178" s="7"/>
      <c r="D178" s="66"/>
      <c r="E178" s="7"/>
    </row>
    <row r="179" spans="1:5" x14ac:dyDescent="0.3">
      <c r="A179" s="7"/>
      <c r="B179" s="7" t="s">
        <v>284</v>
      </c>
      <c r="C179" s="7"/>
      <c r="D179" s="66"/>
      <c r="E179" s="7"/>
    </row>
    <row r="180" spans="1:5" x14ac:dyDescent="0.3">
      <c r="A180" s="7"/>
      <c r="B180" s="7" t="s">
        <v>283</v>
      </c>
      <c r="C180" s="7"/>
      <c r="D180" s="66"/>
      <c r="E180" s="7"/>
    </row>
    <row r="181" spans="1:5" x14ac:dyDescent="0.3">
      <c r="A181" s="7"/>
      <c r="B181" s="7" t="s">
        <v>282</v>
      </c>
      <c r="C181" s="7"/>
      <c r="D181" s="66"/>
      <c r="E181" s="7"/>
    </row>
    <row r="182" spans="1:5" x14ac:dyDescent="0.3">
      <c r="A182" s="7"/>
      <c r="B182" s="7" t="s">
        <v>281</v>
      </c>
      <c r="C182" s="7"/>
      <c r="D182" s="66"/>
      <c r="E182" s="7"/>
    </row>
    <row r="183" spans="1:5" x14ac:dyDescent="0.3">
      <c r="A183" s="7"/>
      <c r="B183" s="7" t="s">
        <v>280</v>
      </c>
      <c r="C183" s="7"/>
      <c r="D183" s="66"/>
      <c r="E183" s="7"/>
    </row>
    <row r="184" spans="1:5" x14ac:dyDescent="0.3">
      <c r="A184" s="7"/>
      <c r="B184" s="7" t="s">
        <v>279</v>
      </c>
      <c r="C184" s="7"/>
      <c r="D184" s="66"/>
      <c r="E184" s="7"/>
    </row>
    <row r="185" spans="1:5" x14ac:dyDescent="0.3">
      <c r="A185" s="7"/>
      <c r="B185" s="7" t="s">
        <v>278</v>
      </c>
      <c r="C185" s="7"/>
      <c r="D185" s="66"/>
      <c r="E185" s="7"/>
    </row>
    <row r="186" spans="1:5" x14ac:dyDescent="0.3">
      <c r="A186" s="7"/>
      <c r="B186" s="7" t="s">
        <v>277</v>
      </c>
      <c r="C186" s="7"/>
      <c r="D186" s="66"/>
      <c r="E186" s="7"/>
    </row>
    <row r="187" spans="1:5" x14ac:dyDescent="0.3">
      <c r="A187" s="7"/>
      <c r="B187" s="7" t="s">
        <v>276</v>
      </c>
      <c r="C187" s="7"/>
      <c r="D187" s="66"/>
      <c r="E187" s="7"/>
    </row>
    <row r="188" spans="1:5" x14ac:dyDescent="0.3">
      <c r="A188" s="7"/>
      <c r="B188" s="7" t="s">
        <v>275</v>
      </c>
      <c r="C188" s="7"/>
      <c r="D188" s="66"/>
      <c r="E188" s="7"/>
    </row>
    <row r="189" spans="1:5" x14ac:dyDescent="0.3">
      <c r="A189" s="7"/>
      <c r="B189" s="7" t="s">
        <v>274</v>
      </c>
      <c r="C189" s="7"/>
      <c r="D189" s="66"/>
      <c r="E189" s="7"/>
    </row>
    <row r="190" spans="1:5" x14ac:dyDescent="0.3">
      <c r="A190" s="7"/>
      <c r="B190" s="7" t="s">
        <v>273</v>
      </c>
      <c r="C190" s="7"/>
      <c r="D190" s="66"/>
      <c r="E190" s="7"/>
    </row>
    <row r="191" spans="1:5" x14ac:dyDescent="0.3">
      <c r="A191" s="7"/>
      <c r="B191" s="7" t="s">
        <v>272</v>
      </c>
      <c r="C191" s="7"/>
      <c r="D191" s="66"/>
      <c r="E191" s="7"/>
    </row>
    <row r="192" spans="1:5" x14ac:dyDescent="0.3">
      <c r="A192" s="7"/>
      <c r="B192" s="7" t="s">
        <v>271</v>
      </c>
      <c r="C192" s="7"/>
      <c r="D192" s="66"/>
      <c r="E192" s="7"/>
    </row>
    <row r="193" spans="1:5" x14ac:dyDescent="0.3">
      <c r="A193" s="7"/>
      <c r="B193" s="7" t="s">
        <v>270</v>
      </c>
      <c r="C193" s="7"/>
      <c r="D193" s="66"/>
      <c r="E193" s="7"/>
    </row>
    <row r="194" spans="1:5" x14ac:dyDescent="0.3">
      <c r="A194" s="7"/>
      <c r="B194" s="7" t="s">
        <v>269</v>
      </c>
      <c r="C194" s="7"/>
      <c r="D194" s="66"/>
      <c r="E194" s="7"/>
    </row>
    <row r="195" spans="1:5" x14ac:dyDescent="0.3">
      <c r="A195" s="7"/>
      <c r="B195" s="7" t="s">
        <v>268</v>
      </c>
      <c r="C195" s="7"/>
      <c r="D195" s="66"/>
      <c r="E195" s="7"/>
    </row>
    <row r="196" spans="1:5" x14ac:dyDescent="0.3">
      <c r="A196" s="7"/>
      <c r="B196" s="7" t="s">
        <v>267</v>
      </c>
      <c r="C196" s="7"/>
      <c r="D196" s="66"/>
      <c r="E196" s="7"/>
    </row>
    <row r="197" spans="1:5" x14ac:dyDescent="0.3">
      <c r="A197" s="7"/>
      <c r="B197" s="7" t="s">
        <v>266</v>
      </c>
      <c r="C197" s="7"/>
      <c r="D197" s="66"/>
      <c r="E197" s="7"/>
    </row>
    <row r="198" spans="1:5" x14ac:dyDescent="0.3">
      <c r="A198" s="7"/>
      <c r="B198" s="7" t="s">
        <v>265</v>
      </c>
      <c r="C198" s="7"/>
      <c r="D198" s="66"/>
      <c r="E198" s="7"/>
    </row>
    <row r="199" spans="1:5" x14ac:dyDescent="0.3">
      <c r="A199" s="7"/>
      <c r="B199" s="7" t="s">
        <v>264</v>
      </c>
      <c r="C199" s="7"/>
      <c r="D199" s="66"/>
      <c r="E199" s="7"/>
    </row>
    <row r="200" spans="1:5" x14ac:dyDescent="0.3">
      <c r="A200" s="7"/>
      <c r="B200" s="7" t="s">
        <v>263</v>
      </c>
      <c r="C200" s="7"/>
      <c r="D200" s="66"/>
      <c r="E200" s="7"/>
    </row>
    <row r="201" spans="1:5" x14ac:dyDescent="0.3">
      <c r="A201" s="7"/>
      <c r="B201" s="7" t="s">
        <v>262</v>
      </c>
      <c r="C201" s="7"/>
      <c r="D201" s="66"/>
      <c r="E201" s="7"/>
    </row>
    <row r="202" spans="1:5" x14ac:dyDescent="0.3">
      <c r="A202" s="7"/>
      <c r="B202" s="7" t="s">
        <v>261</v>
      </c>
      <c r="C202" s="7"/>
      <c r="D202" s="66"/>
      <c r="E202" s="7"/>
    </row>
    <row r="203" spans="1:5" x14ac:dyDescent="0.3">
      <c r="A203" s="7"/>
      <c r="B203" s="7" t="s">
        <v>260</v>
      </c>
      <c r="C203" s="7"/>
      <c r="D203" s="66"/>
      <c r="E203" s="7"/>
    </row>
    <row r="204" spans="1:5" x14ac:dyDescent="0.3">
      <c r="A204" s="7"/>
      <c r="B204" s="7" t="s">
        <v>259</v>
      </c>
      <c r="C204" s="7"/>
      <c r="D204" s="66"/>
      <c r="E204" s="7"/>
    </row>
    <row r="205" spans="1:5" x14ac:dyDescent="0.3">
      <c r="A205" s="7"/>
      <c r="B205" s="7" t="s">
        <v>258</v>
      </c>
      <c r="C205" s="7"/>
      <c r="D205" s="66"/>
      <c r="E205" s="7"/>
    </row>
    <row r="206" spans="1:5" x14ac:dyDescent="0.3">
      <c r="A206" s="7"/>
      <c r="B206" s="7" t="s">
        <v>257</v>
      </c>
      <c r="C206" s="7"/>
      <c r="D206" s="66"/>
      <c r="E206" s="7"/>
    </row>
    <row r="207" spans="1:5" x14ac:dyDescent="0.3">
      <c r="A207" s="7"/>
      <c r="B207" s="7" t="s">
        <v>256</v>
      </c>
      <c r="C207" s="7"/>
      <c r="D207" s="66"/>
      <c r="E207" s="7"/>
    </row>
    <row r="208" spans="1:5" x14ac:dyDescent="0.3">
      <c r="A208" s="7"/>
      <c r="B208" s="7" t="s">
        <v>255</v>
      </c>
      <c r="C208" s="7"/>
      <c r="D208" s="66"/>
      <c r="E208" s="7"/>
    </row>
    <row r="209" spans="1:5" x14ac:dyDescent="0.3">
      <c r="A209" s="7"/>
      <c r="B209" s="7" t="s">
        <v>254</v>
      </c>
      <c r="C209" s="7"/>
      <c r="D209" s="66"/>
      <c r="E209" s="7"/>
    </row>
    <row r="210" spans="1:5" x14ac:dyDescent="0.3">
      <c r="A210" s="7"/>
      <c r="B210" s="7" t="s">
        <v>253</v>
      </c>
      <c r="C210" s="7"/>
      <c r="D210" s="66"/>
      <c r="E210" s="7"/>
    </row>
    <row r="211" spans="1:5" x14ac:dyDescent="0.3">
      <c r="A211" s="16"/>
      <c r="B211" s="16" t="s">
        <v>252</v>
      </c>
      <c r="C211" s="16"/>
      <c r="D211" s="65"/>
      <c r="E211" s="16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DQ18"/>
  <sheetViews>
    <sheetView workbookViewId="0">
      <selection activeCell="A14" sqref="A14"/>
    </sheetView>
  </sheetViews>
  <sheetFormatPr defaultRowHeight="14.4" x14ac:dyDescent="0.3"/>
  <cols>
    <col min="1" max="1" width="46.5546875" bestFit="1" customWidth="1"/>
    <col min="2" max="2" width="25.5546875" bestFit="1" customWidth="1"/>
    <col min="3" max="3" width="26.109375" bestFit="1" customWidth="1"/>
    <col min="4" max="4" width="47" customWidth="1"/>
    <col min="5" max="5" width="10.33203125" bestFit="1" customWidth="1"/>
    <col min="6" max="6" width="9.44140625" bestFit="1" customWidth="1"/>
    <col min="7" max="8" width="9.6640625" bestFit="1" customWidth="1"/>
    <col min="9" max="9" width="8.6640625" bestFit="1" customWidth="1"/>
    <col min="10" max="10" width="3" bestFit="1" customWidth="1"/>
  </cols>
  <sheetData>
    <row r="1" spans="1:121" x14ac:dyDescent="0.3">
      <c r="A1" s="46"/>
      <c r="B1" s="46" t="s">
        <v>132</v>
      </c>
      <c r="C1" s="46" t="s">
        <v>137</v>
      </c>
      <c r="D1" s="46" t="s">
        <v>203</v>
      </c>
      <c r="E1" s="46" t="s">
        <v>133</v>
      </c>
      <c r="F1" s="46" t="s">
        <v>197</v>
      </c>
      <c r="G1" s="46"/>
      <c r="H1" s="46"/>
      <c r="I1" s="46" t="s">
        <v>134</v>
      </c>
      <c r="J1" s="46" t="s">
        <v>135</v>
      </c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6"/>
      <c r="BS1" s="46"/>
      <c r="BT1" s="46"/>
      <c r="BU1" s="46"/>
      <c r="BV1" s="46"/>
      <c r="BW1" s="46"/>
      <c r="BX1" s="46"/>
      <c r="BY1" s="46"/>
      <c r="BZ1" s="46"/>
      <c r="CA1" s="46"/>
      <c r="CB1" s="46"/>
      <c r="CC1" s="46"/>
      <c r="CD1" s="46"/>
      <c r="CE1" s="46"/>
      <c r="CF1" s="46"/>
      <c r="CG1" s="46"/>
      <c r="CH1" s="46"/>
      <c r="CI1" s="46"/>
      <c r="CJ1" s="46"/>
      <c r="CK1" s="46"/>
      <c r="CL1" s="46"/>
      <c r="CM1" s="46"/>
      <c r="CN1" s="46"/>
      <c r="CO1" s="46"/>
      <c r="CP1" s="46"/>
      <c r="CQ1" s="46"/>
      <c r="CR1" s="46"/>
      <c r="CS1" s="46"/>
      <c r="CT1" s="46"/>
      <c r="CU1" s="46"/>
      <c r="CV1" s="46"/>
      <c r="CW1" s="46"/>
      <c r="CX1" s="46"/>
      <c r="CY1" s="46"/>
      <c r="CZ1" s="46"/>
      <c r="DA1" s="46"/>
      <c r="DB1" s="46"/>
      <c r="DC1" s="46"/>
      <c r="DD1" s="46"/>
      <c r="DE1" s="46"/>
      <c r="DF1" s="46"/>
      <c r="DG1" s="46"/>
      <c r="DH1" s="46"/>
      <c r="DI1" s="46"/>
      <c r="DJ1" s="46"/>
      <c r="DK1" s="46"/>
      <c r="DL1" s="46"/>
      <c r="DM1" s="46"/>
      <c r="DN1" s="46"/>
      <c r="DO1" s="46"/>
      <c r="DP1" s="46"/>
      <c r="DQ1" s="46"/>
    </row>
    <row r="2" spans="1:121" x14ac:dyDescent="0.3">
      <c r="A2" s="61" t="s">
        <v>176</v>
      </c>
      <c r="B2" s="63" t="s">
        <v>136</v>
      </c>
      <c r="C2" s="49" t="s">
        <v>196</v>
      </c>
      <c r="D2" s="46" t="s">
        <v>204</v>
      </c>
      <c r="E2" s="48">
        <v>42100</v>
      </c>
      <c r="F2" s="47">
        <v>0.375</v>
      </c>
      <c r="G2" s="48"/>
      <c r="H2" s="46"/>
      <c r="I2" s="59" t="s">
        <v>198</v>
      </c>
      <c r="J2" s="46">
        <v>60</v>
      </c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46"/>
      <c r="BC2" s="46"/>
      <c r="BD2" s="46"/>
      <c r="BE2" s="46"/>
      <c r="BF2" s="46"/>
      <c r="BG2" s="46"/>
      <c r="BH2" s="46"/>
      <c r="BI2" s="46"/>
      <c r="BJ2" s="46"/>
      <c r="BK2" s="46"/>
      <c r="BL2" s="46"/>
      <c r="BM2" s="46"/>
      <c r="BN2" s="46"/>
      <c r="BO2" s="46"/>
      <c r="BP2" s="46"/>
      <c r="BQ2" s="46"/>
      <c r="BR2" s="46"/>
      <c r="BS2" s="46"/>
      <c r="BT2" s="46"/>
      <c r="BU2" s="46"/>
      <c r="BV2" s="46"/>
      <c r="BW2" s="46"/>
      <c r="BX2" s="46"/>
      <c r="BY2" s="46"/>
      <c r="BZ2" s="46"/>
      <c r="CA2" s="46"/>
      <c r="CB2" s="46"/>
      <c r="CC2" s="46"/>
      <c r="CD2" s="46"/>
      <c r="CE2" s="46"/>
      <c r="CF2" s="46"/>
      <c r="CG2" s="46"/>
      <c r="CH2" s="46"/>
      <c r="CI2" s="46"/>
      <c r="CJ2" s="46"/>
      <c r="CK2" s="46"/>
      <c r="CL2" s="46"/>
      <c r="CM2" s="46"/>
      <c r="CN2" s="46"/>
      <c r="CO2" s="46"/>
      <c r="CP2" s="46"/>
      <c r="CQ2" s="46"/>
      <c r="CR2" s="46"/>
      <c r="CS2" s="46"/>
      <c r="CT2" s="46"/>
      <c r="CU2" s="46"/>
      <c r="CV2" s="46"/>
      <c r="CW2" s="46"/>
      <c r="CX2" s="46"/>
      <c r="CY2" s="46"/>
      <c r="CZ2" s="46"/>
      <c r="DA2" s="46"/>
      <c r="DB2" s="46"/>
      <c r="DC2" s="46"/>
      <c r="DD2" s="46"/>
      <c r="DE2" s="46"/>
      <c r="DF2" s="46"/>
      <c r="DG2" s="46"/>
      <c r="DH2" s="46"/>
      <c r="DI2" s="46"/>
      <c r="DJ2" s="46"/>
      <c r="DK2" s="46"/>
      <c r="DL2" s="46"/>
      <c r="DM2" s="46"/>
      <c r="DN2" s="46"/>
      <c r="DO2" s="46"/>
      <c r="DP2" s="46"/>
      <c r="DQ2" s="46"/>
    </row>
    <row r="3" spans="1:121" x14ac:dyDescent="0.3">
      <c r="A3" s="61" t="s">
        <v>38</v>
      </c>
      <c r="B3" s="46" t="s">
        <v>136</v>
      </c>
      <c r="C3" s="60" t="s">
        <v>196</v>
      </c>
      <c r="D3" s="46" t="s">
        <v>205</v>
      </c>
      <c r="E3" s="48">
        <v>42100</v>
      </c>
      <c r="F3" s="47">
        <v>0.41666666666666669</v>
      </c>
      <c r="G3" s="46"/>
      <c r="H3" s="46"/>
      <c r="I3" s="46" t="s">
        <v>198</v>
      </c>
      <c r="J3" s="46">
        <v>60</v>
      </c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  <c r="AX3" s="46"/>
      <c r="AY3" s="46"/>
      <c r="AZ3" s="46"/>
      <c r="BA3" s="46"/>
      <c r="BB3" s="46"/>
      <c r="BC3" s="46"/>
      <c r="BD3" s="46"/>
      <c r="BE3" s="46"/>
      <c r="BF3" s="46"/>
      <c r="BG3" s="46"/>
      <c r="BH3" s="46"/>
      <c r="BI3" s="46"/>
      <c r="BJ3" s="46"/>
      <c r="BK3" s="46"/>
      <c r="BL3" s="46"/>
      <c r="BM3" s="46"/>
      <c r="BN3" s="46"/>
      <c r="BO3" s="46"/>
      <c r="BP3" s="46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6"/>
      <c r="CD3" s="46"/>
      <c r="CE3" s="46"/>
      <c r="CF3" s="46"/>
      <c r="CG3" s="46"/>
      <c r="CH3" s="46"/>
      <c r="CI3" s="46"/>
      <c r="CJ3" s="46"/>
      <c r="CK3" s="46"/>
      <c r="CL3" s="46"/>
      <c r="CM3" s="46"/>
      <c r="CN3" s="46"/>
      <c r="CO3" s="46"/>
      <c r="CP3" s="46"/>
      <c r="CQ3" s="46"/>
      <c r="CR3" s="46"/>
      <c r="CS3" s="46"/>
      <c r="CT3" s="46"/>
      <c r="CU3" s="46"/>
      <c r="CV3" s="46"/>
      <c r="CW3" s="46"/>
      <c r="CX3" s="46"/>
      <c r="CY3" s="46"/>
      <c r="CZ3" s="46"/>
      <c r="DA3" s="46"/>
      <c r="DB3" s="46"/>
      <c r="DC3" s="46"/>
      <c r="DD3" s="46"/>
      <c r="DE3" s="46"/>
      <c r="DF3" s="46"/>
      <c r="DG3" s="46"/>
      <c r="DH3" s="46"/>
      <c r="DI3" s="46"/>
      <c r="DJ3" s="46"/>
      <c r="DK3" s="46"/>
      <c r="DL3" s="46"/>
      <c r="DM3" s="46"/>
      <c r="DN3" s="46"/>
      <c r="DO3" s="46"/>
      <c r="DP3" s="46"/>
      <c r="DQ3" s="46"/>
    </row>
    <row r="4" spans="1:121" x14ac:dyDescent="0.3">
      <c r="A4" s="61" t="s">
        <v>32</v>
      </c>
      <c r="B4" s="46" t="s">
        <v>136</v>
      </c>
      <c r="C4" s="60" t="s">
        <v>196</v>
      </c>
      <c r="D4" s="46" t="s">
        <v>206</v>
      </c>
      <c r="E4" s="48">
        <v>42100</v>
      </c>
      <c r="F4" s="47">
        <v>0.45833333333333331</v>
      </c>
      <c r="G4" s="46"/>
      <c r="H4" s="46"/>
      <c r="I4" s="46" t="s">
        <v>198</v>
      </c>
      <c r="J4" s="46">
        <v>60</v>
      </c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46"/>
      <c r="BF4" s="46"/>
      <c r="BG4" s="46"/>
      <c r="BH4" s="46"/>
      <c r="BI4" s="46"/>
      <c r="BJ4" s="46"/>
      <c r="BK4" s="46"/>
      <c r="BL4" s="46"/>
      <c r="BM4" s="46"/>
      <c r="BN4" s="46"/>
      <c r="BO4" s="46"/>
      <c r="BP4" s="46"/>
      <c r="BQ4" s="46"/>
      <c r="BR4" s="46"/>
      <c r="BS4" s="46"/>
      <c r="BT4" s="46"/>
      <c r="BU4" s="46"/>
      <c r="BV4" s="46"/>
      <c r="BW4" s="46"/>
      <c r="BX4" s="46"/>
      <c r="BY4" s="46"/>
      <c r="BZ4" s="46"/>
      <c r="CA4" s="46"/>
      <c r="CB4" s="46"/>
      <c r="CC4" s="46"/>
      <c r="CD4" s="46"/>
      <c r="CE4" s="46"/>
      <c r="CF4" s="46"/>
      <c r="CG4" s="46"/>
      <c r="CH4" s="46"/>
      <c r="CI4" s="46"/>
      <c r="CJ4" s="46"/>
      <c r="CK4" s="46"/>
      <c r="CL4" s="46"/>
      <c r="CM4" s="46"/>
      <c r="CN4" s="46"/>
      <c r="CO4" s="46"/>
      <c r="CP4" s="46"/>
      <c r="CQ4" s="46"/>
      <c r="CR4" s="46"/>
      <c r="CS4" s="46"/>
      <c r="CT4" s="46"/>
      <c r="CU4" s="46"/>
      <c r="CV4" s="46"/>
      <c r="CW4" s="46"/>
      <c r="CX4" s="46"/>
      <c r="CY4" s="46"/>
      <c r="CZ4" s="46"/>
      <c r="DA4" s="46"/>
      <c r="DB4" s="46"/>
      <c r="DC4" s="46"/>
      <c r="DD4" s="46"/>
      <c r="DE4" s="46"/>
      <c r="DF4" s="46"/>
      <c r="DG4" s="46"/>
      <c r="DH4" s="46"/>
      <c r="DI4" s="46"/>
      <c r="DJ4" s="46"/>
      <c r="DK4" s="46"/>
      <c r="DL4" s="46"/>
      <c r="DM4" s="46"/>
      <c r="DN4" s="46"/>
      <c r="DO4" s="46"/>
      <c r="DP4" s="46"/>
      <c r="DQ4" s="46"/>
    </row>
    <row r="5" spans="1:121" x14ac:dyDescent="0.3">
      <c r="A5" s="61" t="s">
        <v>16</v>
      </c>
      <c r="B5" s="46" t="s">
        <v>136</v>
      </c>
      <c r="C5" s="60" t="s">
        <v>196</v>
      </c>
      <c r="D5" s="46" t="s">
        <v>207</v>
      </c>
      <c r="E5" s="48">
        <v>42100</v>
      </c>
      <c r="F5" s="47">
        <v>0.45833333333333331</v>
      </c>
      <c r="G5" s="46"/>
      <c r="H5" s="46"/>
      <c r="I5" s="46" t="s">
        <v>198</v>
      </c>
      <c r="J5" s="46">
        <v>60</v>
      </c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46"/>
      <c r="CB5" s="46"/>
      <c r="CC5" s="46"/>
      <c r="CD5" s="46"/>
      <c r="CE5" s="46"/>
      <c r="CF5" s="46"/>
      <c r="CG5" s="46"/>
      <c r="CH5" s="46"/>
      <c r="CI5" s="46"/>
      <c r="CJ5" s="46"/>
      <c r="CK5" s="46"/>
      <c r="CL5" s="46"/>
      <c r="CM5" s="46"/>
      <c r="CN5" s="46"/>
      <c r="CO5" s="46"/>
      <c r="CP5" s="46"/>
      <c r="CQ5" s="46"/>
      <c r="CR5" s="46"/>
      <c r="CS5" s="46"/>
      <c r="CT5" s="46"/>
      <c r="CU5" s="46"/>
      <c r="CV5" s="46"/>
      <c r="CW5" s="46"/>
      <c r="CX5" s="46"/>
      <c r="CY5" s="46"/>
      <c r="CZ5" s="46"/>
      <c r="DA5" s="46"/>
      <c r="DB5" s="46"/>
      <c r="DC5" s="46"/>
      <c r="DD5" s="46"/>
      <c r="DE5" s="46"/>
      <c r="DF5" s="46"/>
      <c r="DG5" s="46"/>
      <c r="DH5" s="46"/>
      <c r="DI5" s="46"/>
      <c r="DJ5" s="46"/>
      <c r="DK5" s="46"/>
      <c r="DL5" s="46"/>
      <c r="DM5" s="46"/>
      <c r="DN5" s="46"/>
      <c r="DO5" s="46"/>
      <c r="DP5" s="46"/>
      <c r="DQ5" s="46"/>
    </row>
    <row r="6" spans="1:121" x14ac:dyDescent="0.3">
      <c r="A6" s="61" t="s">
        <v>214</v>
      </c>
      <c r="B6" s="46" t="s">
        <v>213</v>
      </c>
      <c r="C6" s="60" t="s">
        <v>196</v>
      </c>
      <c r="D6" s="46" t="s">
        <v>215</v>
      </c>
      <c r="E6" s="48">
        <v>42100</v>
      </c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46"/>
      <c r="CB6" s="46"/>
      <c r="CC6" s="46"/>
      <c r="CD6" s="46"/>
      <c r="CE6" s="46"/>
      <c r="CF6" s="46"/>
      <c r="CG6" s="46"/>
      <c r="CH6" s="46"/>
      <c r="CI6" s="46"/>
      <c r="CJ6" s="46"/>
      <c r="CK6" s="46"/>
      <c r="CL6" s="46"/>
      <c r="CM6" s="46"/>
      <c r="CN6" s="46"/>
      <c r="CO6" s="46"/>
      <c r="CP6" s="46"/>
      <c r="CQ6" s="46"/>
      <c r="CR6" s="46"/>
      <c r="CS6" s="46"/>
      <c r="CT6" s="46"/>
      <c r="CU6" s="46"/>
      <c r="CV6" s="46"/>
      <c r="CW6" s="46"/>
      <c r="CX6" s="46"/>
      <c r="CY6" s="46"/>
      <c r="CZ6" s="46"/>
      <c r="DA6" s="46"/>
      <c r="DB6" s="46"/>
      <c r="DC6" s="46"/>
      <c r="DD6" s="46"/>
      <c r="DE6" s="46"/>
      <c r="DF6" s="46"/>
      <c r="DG6" s="46"/>
      <c r="DH6" s="46"/>
      <c r="DI6" s="46"/>
      <c r="DJ6" s="46"/>
      <c r="DK6" s="46"/>
      <c r="DL6" s="46"/>
      <c r="DM6" s="46"/>
      <c r="DN6" s="46"/>
      <c r="DO6" s="46"/>
      <c r="DP6" s="46"/>
      <c r="DQ6" s="46"/>
    </row>
    <row r="7" spans="1:121" x14ac:dyDescent="0.3">
      <c r="A7" s="61" t="s">
        <v>172</v>
      </c>
      <c r="B7" s="46" t="s">
        <v>136</v>
      </c>
      <c r="C7" s="60" t="s">
        <v>196</v>
      </c>
      <c r="D7" s="46" t="s">
        <v>233</v>
      </c>
      <c r="E7" s="48">
        <v>42100</v>
      </c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  <c r="CE7" s="46"/>
      <c r="CF7" s="46"/>
      <c r="CG7" s="46"/>
      <c r="CH7" s="46"/>
      <c r="CI7" s="46"/>
      <c r="CJ7" s="46"/>
      <c r="CK7" s="46"/>
      <c r="CL7" s="46"/>
      <c r="CM7" s="46"/>
      <c r="CN7" s="46"/>
      <c r="CO7" s="46"/>
      <c r="CP7" s="46"/>
      <c r="CQ7" s="46"/>
      <c r="CR7" s="46"/>
      <c r="CS7" s="46"/>
      <c r="CT7" s="46"/>
      <c r="CU7" s="46"/>
      <c r="CV7" s="46"/>
      <c r="CW7" s="46"/>
      <c r="CX7" s="46"/>
      <c r="CY7" s="46"/>
      <c r="CZ7" s="46"/>
      <c r="DA7" s="46"/>
      <c r="DB7" s="46"/>
      <c r="DC7" s="46"/>
      <c r="DD7" s="46"/>
      <c r="DE7" s="46"/>
      <c r="DF7" s="46"/>
      <c r="DG7" s="46"/>
      <c r="DH7" s="46"/>
      <c r="DI7" s="46"/>
      <c r="DJ7" s="46"/>
      <c r="DK7" s="46"/>
      <c r="DL7" s="46"/>
      <c r="DM7" s="46"/>
      <c r="DN7" s="46"/>
      <c r="DO7" s="46"/>
      <c r="DP7" s="46"/>
      <c r="DQ7" s="46"/>
    </row>
    <row r="8" spans="1:121" x14ac:dyDescent="0.3">
      <c r="A8" s="61" t="s">
        <v>237</v>
      </c>
      <c r="B8" s="46" t="s">
        <v>136</v>
      </c>
      <c r="C8" s="46"/>
      <c r="D8" s="46"/>
      <c r="E8" s="48">
        <v>42100</v>
      </c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/>
      <c r="CG8" s="46"/>
      <c r="CH8" s="46"/>
      <c r="CI8" s="46"/>
      <c r="CJ8" s="46"/>
      <c r="CK8" s="46"/>
      <c r="CL8" s="46"/>
      <c r="CM8" s="46"/>
      <c r="CN8" s="46"/>
      <c r="CO8" s="46"/>
      <c r="CP8" s="46"/>
      <c r="CQ8" s="46"/>
      <c r="CR8" s="46"/>
      <c r="CS8" s="46"/>
      <c r="CT8" s="46"/>
      <c r="CU8" s="46"/>
      <c r="CV8" s="46"/>
      <c r="CW8" s="46"/>
      <c r="CX8" s="46"/>
      <c r="CY8" s="46"/>
      <c r="CZ8" s="46"/>
      <c r="DA8" s="46"/>
      <c r="DB8" s="46"/>
      <c r="DC8" s="46"/>
      <c r="DD8" s="46"/>
      <c r="DE8" s="46"/>
      <c r="DF8" s="46"/>
      <c r="DG8" s="46"/>
      <c r="DH8" s="46"/>
      <c r="DI8" s="46"/>
      <c r="DJ8" s="46"/>
      <c r="DK8" s="46"/>
      <c r="DL8" s="46"/>
      <c r="DM8" s="46"/>
      <c r="DN8" s="46"/>
      <c r="DO8" s="46"/>
      <c r="DP8" s="46"/>
      <c r="DQ8" s="46"/>
    </row>
    <row r="9" spans="1:121" x14ac:dyDescent="0.3">
      <c r="A9" s="61" t="s">
        <v>238</v>
      </c>
      <c r="B9" s="46" t="s">
        <v>136</v>
      </c>
      <c r="C9" s="46"/>
      <c r="D9" s="46"/>
      <c r="E9" s="48">
        <v>42100</v>
      </c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  <c r="CM9" s="46"/>
      <c r="CN9" s="46"/>
      <c r="CO9" s="46"/>
      <c r="CP9" s="46"/>
      <c r="CQ9" s="46"/>
      <c r="CR9" s="46"/>
      <c r="CS9" s="46"/>
      <c r="CT9" s="46"/>
      <c r="CU9" s="46"/>
      <c r="CV9" s="46"/>
      <c r="CW9" s="46"/>
      <c r="CX9" s="46"/>
      <c r="CY9" s="46"/>
      <c r="CZ9" s="46"/>
      <c r="DA9" s="46"/>
      <c r="DB9" s="46"/>
      <c r="DC9" s="46"/>
      <c r="DD9" s="46"/>
      <c r="DE9" s="46"/>
      <c r="DF9" s="46"/>
      <c r="DG9" s="46"/>
      <c r="DH9" s="46"/>
      <c r="DI9" s="46"/>
      <c r="DJ9" s="46"/>
      <c r="DK9" s="46"/>
      <c r="DL9" s="46"/>
      <c r="DM9" s="46"/>
      <c r="DN9" s="46"/>
      <c r="DO9" s="46"/>
      <c r="DP9" s="46"/>
      <c r="DQ9" s="46"/>
    </row>
    <row r="10" spans="1:121" x14ac:dyDescent="0.3">
      <c r="A10" s="61" t="s">
        <v>229</v>
      </c>
      <c r="B10" s="46" t="s">
        <v>136</v>
      </c>
      <c r="C10" s="46"/>
      <c r="D10" s="46"/>
      <c r="E10" s="48">
        <v>42100</v>
      </c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  <c r="CM10" s="46"/>
      <c r="CN10" s="46"/>
      <c r="CO10" s="46"/>
      <c r="CP10" s="46"/>
      <c r="CQ10" s="46"/>
      <c r="CR10" s="46"/>
      <c r="CS10" s="46"/>
      <c r="CT10" s="46"/>
      <c r="CU10" s="46"/>
      <c r="CV10" s="46"/>
      <c r="CW10" s="46"/>
      <c r="CX10" s="46"/>
      <c r="CY10" s="46"/>
      <c r="CZ10" s="46"/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46"/>
    </row>
    <row r="11" spans="1:121" x14ac:dyDescent="0.3">
      <c r="A11" s="62" t="s">
        <v>112</v>
      </c>
      <c r="B11" s="46" t="s">
        <v>136</v>
      </c>
      <c r="C11" s="60" t="s">
        <v>196</v>
      </c>
      <c r="D11" s="46" t="s">
        <v>208</v>
      </c>
      <c r="E11" s="48">
        <v>42102</v>
      </c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  <c r="CM11" s="46"/>
      <c r="CN11" s="46"/>
      <c r="CO11" s="46"/>
      <c r="CP11" s="46"/>
      <c r="CQ11" s="46"/>
      <c r="CR11" s="46"/>
      <c r="CS11" s="46"/>
      <c r="CT11" s="46"/>
      <c r="CU11" s="46"/>
      <c r="CV11" s="46"/>
      <c r="CW11" s="46"/>
      <c r="CX11" s="46"/>
      <c r="CY11" s="46"/>
      <c r="CZ11" s="46"/>
      <c r="DA11" s="46"/>
      <c r="DB11" s="46"/>
      <c r="DC11" s="46"/>
      <c r="DD11" s="46"/>
      <c r="DE11" s="46"/>
      <c r="DF11" s="46"/>
      <c r="DG11" s="46"/>
      <c r="DH11" s="46"/>
      <c r="DI11" s="46"/>
      <c r="DJ11" s="46"/>
      <c r="DK11" s="46"/>
      <c r="DL11" s="46"/>
      <c r="DM11" s="46"/>
      <c r="DN11" s="46"/>
      <c r="DO11" s="46"/>
      <c r="DP11" s="46"/>
      <c r="DQ11" s="46"/>
    </row>
    <row r="12" spans="1:121" x14ac:dyDescent="0.3">
      <c r="A12" s="46" t="s">
        <v>186</v>
      </c>
      <c r="B12" s="46" t="s">
        <v>136</v>
      </c>
      <c r="C12" s="60" t="s">
        <v>196</v>
      </c>
      <c r="D12" s="46" t="s">
        <v>219</v>
      </c>
      <c r="E12" s="48">
        <v>42102</v>
      </c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  <c r="CM12" s="46"/>
      <c r="CN12" s="46"/>
      <c r="CO12" s="46"/>
      <c r="CP12" s="46"/>
      <c r="CQ12" s="46"/>
      <c r="CR12" s="46"/>
      <c r="CS12" s="46"/>
      <c r="CT12" s="46"/>
      <c r="CU12" s="46"/>
      <c r="CV12" s="46"/>
      <c r="CW12" s="46"/>
      <c r="CX12" s="46"/>
      <c r="CY12" s="46"/>
      <c r="CZ12" s="46"/>
      <c r="DA12" s="46"/>
      <c r="DB12" s="46"/>
      <c r="DC12" s="46"/>
      <c r="DD12" s="46"/>
      <c r="DE12" s="46"/>
      <c r="DF12" s="46"/>
      <c r="DG12" s="46"/>
      <c r="DH12" s="46"/>
      <c r="DI12" s="46"/>
      <c r="DJ12" s="46"/>
      <c r="DK12" s="46"/>
      <c r="DL12" s="46"/>
      <c r="DM12" s="46"/>
      <c r="DN12" s="46"/>
      <c r="DO12" s="46"/>
      <c r="DP12" s="46"/>
      <c r="DQ12" s="46"/>
    </row>
    <row r="13" spans="1:121" x14ac:dyDescent="0.3">
      <c r="A13" s="46" t="s">
        <v>190</v>
      </c>
      <c r="B13" s="46" t="s">
        <v>136</v>
      </c>
      <c r="C13" s="60" t="s">
        <v>196</v>
      </c>
      <c r="D13" s="46" t="s">
        <v>220</v>
      </c>
      <c r="E13" s="48">
        <v>42102</v>
      </c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</row>
    <row r="14" spans="1:121" x14ac:dyDescent="0.3">
      <c r="A14" s="64" t="s">
        <v>193</v>
      </c>
      <c r="B14" s="46" t="s">
        <v>136</v>
      </c>
      <c r="C14" s="60" t="s">
        <v>196</v>
      </c>
      <c r="D14" s="46" t="s">
        <v>221</v>
      </c>
      <c r="E14" s="48">
        <v>42101</v>
      </c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  <c r="CM14" s="46"/>
      <c r="CN14" s="46"/>
      <c r="CO14" s="46"/>
      <c r="CP14" s="46"/>
      <c r="CQ14" s="46"/>
      <c r="CR14" s="46"/>
      <c r="CS14" s="46"/>
      <c r="CT14" s="46"/>
      <c r="CU14" s="46"/>
      <c r="CV14" s="46"/>
      <c r="CW14" s="46"/>
      <c r="CX14" s="46"/>
      <c r="CY14" s="46"/>
      <c r="CZ14" s="46"/>
      <c r="DA14" s="46"/>
      <c r="DB14" s="46"/>
      <c r="DC14" s="46"/>
      <c r="DD14" s="46"/>
      <c r="DE14" s="46"/>
      <c r="DF14" s="46"/>
      <c r="DG14" s="46"/>
      <c r="DH14" s="46"/>
      <c r="DI14" s="46"/>
      <c r="DJ14" s="46"/>
      <c r="DK14" s="46"/>
      <c r="DL14" s="46"/>
      <c r="DM14" s="46"/>
      <c r="DN14" s="46"/>
      <c r="DO14" s="46"/>
      <c r="DP14" s="46"/>
      <c r="DQ14" s="46"/>
    </row>
    <row r="15" spans="1:121" x14ac:dyDescent="0.3">
      <c r="A15" s="46" t="s">
        <v>236</v>
      </c>
      <c r="B15" s="46" t="s">
        <v>239</v>
      </c>
      <c r="C15" s="46"/>
      <c r="D15" s="46"/>
      <c r="E15" s="48">
        <v>42101</v>
      </c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  <c r="CM15" s="46"/>
      <c r="CN15" s="46"/>
      <c r="CO15" s="46"/>
      <c r="CP15" s="46"/>
      <c r="CQ15" s="46"/>
      <c r="CR15" s="46"/>
      <c r="CS15" s="46"/>
      <c r="CT15" s="46"/>
      <c r="CU15" s="46"/>
      <c r="CV15" s="46"/>
      <c r="CW15" s="46"/>
      <c r="CX15" s="46"/>
      <c r="CY15" s="46"/>
      <c r="CZ15" s="46"/>
      <c r="DA15" s="46"/>
      <c r="DB15" s="46"/>
      <c r="DC15" s="46"/>
      <c r="DD15" s="46"/>
      <c r="DE15" s="46"/>
      <c r="DF15" s="46"/>
      <c r="DG15" s="46"/>
      <c r="DH15" s="46"/>
      <c r="DI15" s="46"/>
      <c r="DJ15" s="46"/>
      <c r="DK15" s="46"/>
      <c r="DL15" s="46"/>
      <c r="DM15" s="46"/>
      <c r="DN15" s="46"/>
      <c r="DO15" s="46"/>
      <c r="DP15" s="46"/>
      <c r="DQ15" s="46"/>
    </row>
    <row r="16" spans="1:121" x14ac:dyDescent="0.3">
      <c r="A16" s="46" t="s">
        <v>240</v>
      </c>
      <c r="B16" s="46"/>
      <c r="C16" s="46"/>
      <c r="D16" s="46"/>
      <c r="E16" s="48">
        <v>42102</v>
      </c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  <c r="CM16" s="46"/>
      <c r="CN16" s="46"/>
      <c r="CO16" s="46"/>
      <c r="CP16" s="46"/>
      <c r="CQ16" s="46"/>
      <c r="CR16" s="46"/>
      <c r="CS16" s="46"/>
      <c r="CT16" s="46"/>
      <c r="CU16" s="46"/>
      <c r="CV16" s="46"/>
      <c r="CW16" s="46"/>
      <c r="CX16" s="46"/>
      <c r="CY16" s="46"/>
      <c r="CZ16" s="46"/>
      <c r="DA16" s="46"/>
      <c r="DB16" s="46"/>
      <c r="DC16" s="46"/>
      <c r="DD16" s="46"/>
      <c r="DE16" s="46"/>
      <c r="DF16" s="46"/>
      <c r="DG16" s="46"/>
      <c r="DH16" s="46"/>
      <c r="DI16" s="46"/>
      <c r="DJ16" s="46"/>
      <c r="DK16" s="46"/>
      <c r="DL16" s="46"/>
      <c r="DM16" s="46"/>
      <c r="DN16" s="46"/>
      <c r="DO16" s="46"/>
      <c r="DP16" s="46"/>
      <c r="DQ16" s="46"/>
    </row>
    <row r="17" spans="1:121" x14ac:dyDescent="0.3">
      <c r="A17" s="46" t="s">
        <v>236</v>
      </c>
      <c r="B17" s="46" t="s">
        <v>136</v>
      </c>
      <c r="C17" s="60" t="s">
        <v>196</v>
      </c>
      <c r="D17" s="46" t="s">
        <v>250</v>
      </c>
      <c r="E17" s="48">
        <v>42102</v>
      </c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/>
      <c r="BV17" s="46"/>
      <c r="BW17" s="46"/>
      <c r="BX17" s="46"/>
      <c r="BY17" s="46"/>
      <c r="BZ17" s="46"/>
      <c r="CA17" s="46"/>
      <c r="CB17" s="46"/>
      <c r="CC17" s="46"/>
      <c r="CD17" s="46"/>
      <c r="CE17" s="46"/>
      <c r="CF17" s="46"/>
      <c r="CG17" s="46"/>
      <c r="CH17" s="46"/>
      <c r="CI17" s="46"/>
      <c r="CJ17" s="46"/>
      <c r="CK17" s="46"/>
      <c r="CL17" s="46"/>
      <c r="CM17" s="46"/>
      <c r="CN17" s="46"/>
      <c r="CO17" s="46"/>
      <c r="CP17" s="46"/>
      <c r="CQ17" s="46"/>
      <c r="CR17" s="46"/>
      <c r="CS17" s="46"/>
      <c r="CT17" s="46"/>
      <c r="CU17" s="46"/>
      <c r="CV17" s="46"/>
      <c r="CW17" s="46"/>
      <c r="CX17" s="46"/>
      <c r="CY17" s="46"/>
      <c r="CZ17" s="46"/>
      <c r="DA17" s="46"/>
      <c r="DB17" s="46"/>
      <c r="DC17" s="46"/>
      <c r="DD17" s="46"/>
      <c r="DE17" s="46"/>
      <c r="DF17" s="46"/>
      <c r="DG17" s="46"/>
      <c r="DH17" s="46"/>
      <c r="DI17" s="46"/>
      <c r="DJ17" s="46"/>
      <c r="DK17" s="46"/>
      <c r="DL17" s="46"/>
      <c r="DM17" s="46"/>
      <c r="DN17" s="46"/>
      <c r="DO17" s="46"/>
      <c r="DP17" s="46"/>
      <c r="DQ17" s="46"/>
    </row>
    <row r="18" spans="1:121" x14ac:dyDescent="0.3">
      <c r="A18" s="46" t="s">
        <v>228</v>
      </c>
      <c r="B18" s="46" t="s">
        <v>136</v>
      </c>
      <c r="C18" s="60" t="s">
        <v>196</v>
      </c>
      <c r="D18" s="46" t="s">
        <v>251</v>
      </c>
      <c r="E18" s="48">
        <v>42102</v>
      </c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  <c r="CM18" s="46"/>
      <c r="CN18" s="46"/>
      <c r="CO18" s="46"/>
      <c r="CP18" s="46"/>
      <c r="CQ18" s="46"/>
      <c r="CR18" s="46"/>
      <c r="CS18" s="46"/>
      <c r="CT18" s="46"/>
      <c r="CU18" s="46"/>
      <c r="CV18" s="46"/>
      <c r="CW18" s="46"/>
      <c r="CX18" s="46"/>
      <c r="CY18" s="46"/>
      <c r="CZ18" s="46"/>
      <c r="DA18" s="46"/>
      <c r="DB18" s="46"/>
      <c r="DC18" s="46"/>
      <c r="DD18" s="46"/>
      <c r="DE18" s="46"/>
      <c r="DF18" s="46"/>
      <c r="DG18" s="46"/>
      <c r="DH18" s="46"/>
      <c r="DI18" s="46"/>
      <c r="DJ18" s="46"/>
      <c r="DK18" s="46"/>
      <c r="DL18" s="46"/>
      <c r="DM18" s="46"/>
      <c r="DN18" s="46"/>
      <c r="DO18" s="46"/>
      <c r="DP18" s="46"/>
      <c r="DQ18" s="46"/>
    </row>
  </sheetData>
  <hyperlinks>
    <hyperlink ref="C2" r:id="rId1" xr:uid="{00000000-0004-0000-0200-000000000000}"/>
    <hyperlink ref="C3" r:id="rId2" xr:uid="{00000000-0004-0000-0200-000001000000}"/>
    <hyperlink ref="C4" r:id="rId3" xr:uid="{00000000-0004-0000-0200-000002000000}"/>
    <hyperlink ref="C5" r:id="rId4" xr:uid="{00000000-0004-0000-0200-000003000000}"/>
    <hyperlink ref="C11" r:id="rId5" xr:uid="{00000000-0004-0000-0200-000004000000}"/>
    <hyperlink ref="C6" r:id="rId6" xr:uid="{00000000-0004-0000-0200-000005000000}"/>
    <hyperlink ref="C12" r:id="rId7" xr:uid="{00000000-0004-0000-0200-000006000000}"/>
    <hyperlink ref="C13" r:id="rId8" xr:uid="{00000000-0004-0000-0200-000007000000}"/>
    <hyperlink ref="C14" r:id="rId9" xr:uid="{00000000-0004-0000-0200-000008000000}"/>
    <hyperlink ref="C7" r:id="rId10" xr:uid="{00000000-0004-0000-0200-000009000000}"/>
    <hyperlink ref="C17" r:id="rId11" xr:uid="{00000000-0004-0000-0200-00000A000000}"/>
    <hyperlink ref="C18" r:id="rId12" xr:uid="{00000000-0004-0000-0200-00000B000000}"/>
  </hyperlinks>
  <pageMargins left="0.7" right="0.7" top="0.75" bottom="0.75" header="0.3" footer="0.3"/>
  <pageSetup paperSize="9" orientation="portrait" verticalDpi="0" r:id="rId1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Leads</vt:lpstr>
      <vt:lpstr>Discussions</vt:lpstr>
      <vt:lpstr>Sheet1</vt:lpstr>
      <vt:lpstr>Sheet2</vt:lpstr>
      <vt:lpstr>Initiative</vt:lpstr>
      <vt:lpstr>Leads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Sunnyside</dc:creator>
  <cp:lastModifiedBy>Vitrag Group</cp:lastModifiedBy>
  <dcterms:created xsi:type="dcterms:W3CDTF">2015-01-04T03:11:45Z</dcterms:created>
  <dcterms:modified xsi:type="dcterms:W3CDTF">2019-02-03T09:29:24Z</dcterms:modified>
</cp:coreProperties>
</file>