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Relevant Code\"/>
    </mc:Choice>
  </mc:AlternateContent>
  <xr:revisionPtr revIDLastSave="0" documentId="13_ncr:1_{97861E66-D856-408C-B7D7-A8F48910DCA5}" xr6:coauthVersionLast="44" xr6:coauthVersionMax="44" xr10:uidLastSave="{00000000-0000-0000-0000-000000000000}"/>
  <bookViews>
    <workbookView xWindow="-108" yWindow="-108" windowWidth="23256" windowHeight="12576" activeTab="1" xr2:uid="{00000000-000D-0000-FFFF-FFFF00000000}"/>
  </bookViews>
  <sheets>
    <sheet name="Introduction" sheetId="2" r:id="rId1"/>
    <sheet name="Financial Calculator" sheetId="1" r:id="rId2"/>
  </sheets>
  <definedNames>
    <definedName name="endperiod">'Financial Calculator'!$D$18</definedName>
    <definedName name="FV">'Financial Calculator'!$D$14</definedName>
    <definedName name="I">'Financial Calculator'!$D$12</definedName>
    <definedName name="N">'Financial Calculator'!$D$9</definedName>
    <definedName name="PMT">'Financial Calculator'!$D$16</definedName>
    <definedName name="_xlnm.Print_Area" localSheetId="1">'Financial Calculator'!$B$1:$P$41</definedName>
    <definedName name="PV">'Financial Calculator'!$D$7</definedName>
    <definedName name="PY">'Financial Calculator'!$D$10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2" l="1"/>
  <c r="D9" i="1"/>
  <c r="D7" i="1"/>
</calcChain>
</file>

<file path=xl/sharedStrings.xml><?xml version="1.0" encoding="utf-8"?>
<sst xmlns="http://schemas.openxmlformats.org/spreadsheetml/2006/main" count="119" uniqueCount="58">
  <si>
    <t>N</t>
  </si>
  <si>
    <t>Type:</t>
  </si>
  <si>
    <t>End = 0</t>
  </si>
  <si>
    <t>Begin = 1</t>
  </si>
  <si>
    <t>Inputs Needed</t>
  </si>
  <si>
    <t>PV</t>
  </si>
  <si>
    <t>I</t>
  </si>
  <si>
    <t>FV</t>
  </si>
  <si>
    <t>PMT</t>
  </si>
  <si>
    <t>x</t>
  </si>
  <si>
    <t>Note:  This is a simple calculator to help you with your financial calculations.</t>
  </si>
  <si>
    <t>If you have any questions, or notice any problems, please let me know.</t>
  </si>
  <si>
    <t>Thanks.    Bryan</t>
  </si>
  <si>
    <t>In using this calculator, assume that money you pay out to invest is negative, i.e. you pay it out.</t>
  </si>
  <si>
    <t xml:space="preserve">  Present Value =</t>
  </si>
  <si>
    <t xml:space="preserve">  Total Periods =</t>
  </si>
  <si>
    <t xml:space="preserve">  Annual Interest =</t>
  </si>
  <si>
    <t xml:space="preserve">  Future Value =</t>
  </si>
  <si>
    <t xml:space="preserve">  Payments =</t>
  </si>
  <si>
    <t xml:space="preserve">  Type =</t>
  </si>
  <si>
    <t>Then,  when you receive money the sign should be positive, i.e. you receive the money.</t>
  </si>
  <si>
    <t xml:space="preserve">For example, you have invested $3,000 each year for 15 years at 8% interest.  Since you pay the </t>
  </si>
  <si>
    <t>Instructions:</t>
  </si>
  <si>
    <t>Note:  Input data in the green cells only.  Hit [Clear] after each problem to clear the information.</t>
  </si>
  <si>
    <t xml:space="preserve">If the answer is  #DIV/0, there is likely not enough information to answer the problem.  Use the </t>
  </si>
  <si>
    <t xml:space="preserve">Inputs Needed Table (in yellow) to make sure you have sufficient information to solve the problem.  </t>
  </si>
  <si>
    <t>$3,000 out each year the sign should be negative.  When you solve for your Future Value [Calculate</t>
  </si>
  <si>
    <t xml:space="preserve">FV] the answer will come back a positive number, i.e.  PMT = -3,000, N = 15, P/Y = 1, I = 8%, then </t>
  </si>
  <si>
    <t xml:space="preserve">solve for Future Value [Calculate FV] = $81,456.  This is the amount of money you will have at the </t>
  </si>
  <si>
    <t>end of 15 years assuming your investments returned 8% each year.</t>
  </si>
  <si>
    <t>Teaching Tool 12 - Financial Calculator for Excel</t>
  </si>
  <si>
    <t>Purpose:</t>
  </si>
  <si>
    <t>Disclosure:</t>
  </si>
  <si>
    <t>The purpose of this spreadsheet is to give an Excel template for a financial calculator.</t>
  </si>
  <si>
    <t xml:space="preserve">It is written in Excel, and uses the Excel financial functions.  Again, as with all </t>
  </si>
  <si>
    <t xml:space="preserve">financial estimates, if you use reasonable estimates your results are likely to be </t>
  </si>
  <si>
    <t>reasonable as well.</t>
  </si>
  <si>
    <t xml:space="preserve">Note:  Input data in the green cells only.  Hit [Clear] after each problem to clear the </t>
  </si>
  <si>
    <t>answer the problem. Use the Inputs Needed Table (in yellow) to make sure you</t>
  </si>
  <si>
    <t xml:space="preserve"> have sufficient information to solve the problem.  </t>
  </si>
  <si>
    <t xml:space="preserve">information.  If the answer is  #DIV/0, there is likely not enough information to </t>
  </si>
  <si>
    <t xml:space="preserve">In using this calculator, assume that money you pay out to invest is negative, i.e. </t>
  </si>
  <si>
    <t xml:space="preserve">you pay it out.  Then,  when you receive money the sign should be positive, i.e. </t>
  </si>
  <si>
    <t>you receive the money.</t>
  </si>
  <si>
    <t xml:space="preserve">For example, you have invested $3,000 each year for 15 years at 8% interest.   </t>
  </si>
  <si>
    <t xml:space="preserve">Since you pay the $3,000 out each year the sign should be negative.  When you </t>
  </si>
  <si>
    <t xml:space="preserve">solve for your Future Value [Calculate FV] the answer will come back a positive </t>
  </si>
  <si>
    <t xml:space="preserve"> number, i.e.  PMT = -3,000, N = 15, P/Y = 1, I = 8%, then solve for Future </t>
  </si>
  <si>
    <t xml:space="preserve">Value [Calculate FV] = $81,456.  This is the amount of money you will have at </t>
  </si>
  <si>
    <t>the end of 15 years assuming your investments returned 8% each year.</t>
  </si>
  <si>
    <t>Personal Finance: Another Perspective</t>
  </si>
  <si>
    <t xml:space="preserve">    Payments/Year =</t>
  </si>
  <si>
    <t>P/YR</t>
  </si>
  <si>
    <t>The purpose of this spreadsheet and this class is to help you get your financial house in</t>
  </si>
  <si>
    <t xml:space="preserve">order and to help you on your road to financial self-reliance.  If there are mistakes in this </t>
  </si>
  <si>
    <t xml:space="preserve">spreadsheet, please bring them to our attention and we will correct them in upcoming </t>
  </si>
  <si>
    <t xml:space="preserve">versions.  The teacher, and BYU, specifically disclaim any liability, or responsibility for </t>
  </si>
  <si>
    <t>claims, loss, or risk incurred, directly or indirectly, from using this material.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</si>
</sst>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_);[Red]\(&quot;$&quot;#,##0.00\)"/>
    <numFmt numFmtId="165" formatCode="_(* #,##0.00_);_(* \(#,##0.00\);_(* &quot;-&quot;??_);_(@_)"/>
    <numFmt numFmtId="166" formatCode="_(* #,##0_);_(* \(#,##0\);_(* &quot;-&quot;??_);_(@_)"/>
  </numFmts>
  <fonts count="8" x14ac:knownFonts="1">
    <font>
      <sz val="10"/>
      <name val="Arial"/>
    </font>
    <font>
      <sz val="10"/>
      <name val="Arial"/>
      <family val="2"/>
    </font>
    <font>
      <b/>
      <sz val="12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10"/>
      <name val="Times New Roman"/>
      <family val="1"/>
    </font>
    <font>
      <b/>
      <sz val="14"/>
      <name val="Times New Roman"/>
      <family val="1"/>
    </font>
    <font>
      <b/>
      <sz val="12"/>
      <color rgb="FF00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27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27">
    <xf numFmtId="0" fontId="0" fillId="0" borderId="0" xfId="0"/>
    <xf numFmtId="0" fontId="2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/>
    <xf numFmtId="0" fontId="3" fillId="2" borderId="1" xfId="0" applyFont="1" applyFill="1" applyBorder="1" applyAlignment="1">
      <alignment horizontal="center"/>
    </xf>
    <xf numFmtId="0" fontId="4" fillId="2" borderId="0" xfId="0" applyFont="1" applyFill="1" applyBorder="1"/>
    <xf numFmtId="0" fontId="4" fillId="2" borderId="1" xfId="0" applyFont="1" applyFill="1" applyBorder="1"/>
    <xf numFmtId="0" fontId="3" fillId="2" borderId="0" xfId="0" applyFont="1" applyFill="1"/>
    <xf numFmtId="0" fontId="2" fillId="2" borderId="0" xfId="0" applyFont="1" applyFill="1" applyAlignment="1">
      <alignment horizontal="center"/>
    </xf>
    <xf numFmtId="0" fontId="4" fillId="2" borderId="0" xfId="0" applyFont="1" applyFill="1"/>
    <xf numFmtId="0" fontId="3" fillId="2" borderId="0" xfId="0" applyFont="1" applyFill="1" applyAlignment="1">
      <alignment horizontal="center"/>
    </xf>
    <xf numFmtId="0" fontId="2" fillId="2" borderId="0" xfId="0" applyFont="1" applyFill="1" applyBorder="1" applyAlignment="1">
      <alignment horizontal="right"/>
    </xf>
    <xf numFmtId="0" fontId="2" fillId="2" borderId="0" xfId="0" applyFont="1" applyFill="1" applyAlignment="1">
      <alignment horizontal="right"/>
    </xf>
    <xf numFmtId="0" fontId="2" fillId="3" borderId="2" xfId="0" applyFont="1" applyFill="1" applyBorder="1" applyAlignment="1">
      <alignment horizontal="right"/>
    </xf>
    <xf numFmtId="0" fontId="2" fillId="3" borderId="3" xfId="0" applyFont="1" applyFill="1" applyBorder="1" applyAlignment="1">
      <alignment horizontal="right"/>
    </xf>
    <xf numFmtId="0" fontId="2" fillId="3" borderId="0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3" fillId="3" borderId="5" xfId="0" applyFont="1" applyFill="1" applyBorder="1"/>
    <xf numFmtId="166" fontId="4" fillId="4" borderId="1" xfId="1" applyNumberFormat="1" applyFont="1" applyFill="1" applyBorder="1"/>
    <xf numFmtId="2" fontId="4" fillId="4" borderId="1" xfId="0" applyNumberFormat="1" applyFont="1" applyFill="1" applyBorder="1"/>
    <xf numFmtId="0" fontId="4" fillId="4" borderId="6" xfId="0" applyFont="1" applyFill="1" applyBorder="1"/>
    <xf numFmtId="10" fontId="4" fillId="4" borderId="1" xfId="3" applyNumberFormat="1" applyFont="1" applyFill="1" applyBorder="1"/>
    <xf numFmtId="0" fontId="4" fillId="4" borderId="1" xfId="0" applyFont="1" applyFill="1" applyBorder="1"/>
    <xf numFmtId="0" fontId="4" fillId="3" borderId="0" xfId="0" applyFont="1" applyFill="1" applyBorder="1"/>
    <xf numFmtId="0" fontId="3" fillId="3" borderId="0" xfId="0" applyFont="1" applyFill="1" applyBorder="1"/>
    <xf numFmtId="0" fontId="3" fillId="3" borderId="0" xfId="0" applyFont="1" applyFill="1" applyBorder="1" applyAlignment="1">
      <alignment horizontal="center"/>
    </xf>
    <xf numFmtId="0" fontId="3" fillId="5" borderId="0" xfId="0" applyFont="1" applyFill="1" applyBorder="1"/>
    <xf numFmtId="0" fontId="3" fillId="5" borderId="5" xfId="0" applyFont="1" applyFill="1" applyBorder="1"/>
    <xf numFmtId="0" fontId="3" fillId="5" borderId="0" xfId="0" applyFont="1" applyFill="1" applyBorder="1" applyAlignment="1">
      <alignment horizontal="center"/>
    </xf>
    <xf numFmtId="0" fontId="3" fillId="5" borderId="4" xfId="0" applyFont="1" applyFill="1" applyBorder="1"/>
    <xf numFmtId="0" fontId="3" fillId="5" borderId="4" xfId="0" applyFont="1" applyFill="1" applyBorder="1" applyAlignment="1">
      <alignment horizontal="center"/>
    </xf>
    <xf numFmtId="0" fontId="3" fillId="5" borderId="7" xfId="0" applyFont="1" applyFill="1" applyBorder="1"/>
    <xf numFmtId="0" fontId="4" fillId="3" borderId="4" xfId="0" applyFont="1" applyFill="1" applyBorder="1"/>
    <xf numFmtId="0" fontId="4" fillId="5" borderId="0" xfId="0" applyFont="1" applyFill="1" applyBorder="1"/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164" fontId="3" fillId="4" borderId="1" xfId="1" applyNumberFormat="1" applyFont="1" applyFill="1" applyBorder="1"/>
    <xf numFmtId="0" fontId="2" fillId="0" borderId="8" xfId="0" applyFont="1" applyFill="1" applyBorder="1" applyAlignment="1"/>
    <xf numFmtId="0" fontId="2" fillId="0" borderId="9" xfId="0" applyFont="1" applyFill="1" applyBorder="1" applyAlignment="1"/>
    <xf numFmtId="0" fontId="3" fillId="2" borderId="10" xfId="0" applyFont="1" applyFill="1" applyBorder="1"/>
    <xf numFmtId="0" fontId="2" fillId="2" borderId="12" xfId="0" applyFont="1" applyFill="1" applyBorder="1" applyAlignment="1">
      <alignment horizontal="right"/>
    </xf>
    <xf numFmtId="0" fontId="2" fillId="2" borderId="13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3" fillId="2" borderId="11" xfId="0" applyFont="1" applyFill="1" applyBorder="1"/>
    <xf numFmtId="0" fontId="2" fillId="2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3" fillId="2" borderId="10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11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4" fillId="0" borderId="9" xfId="0" applyFont="1" applyFill="1" applyBorder="1" applyAlignment="1">
      <alignment horizontal="left"/>
    </xf>
    <xf numFmtId="0" fontId="4" fillId="2" borderId="12" xfId="0" applyFont="1" applyFill="1" applyBorder="1" applyAlignment="1">
      <alignment horizontal="left"/>
    </xf>
    <xf numFmtId="0" fontId="4" fillId="2" borderId="13" xfId="0" applyFont="1" applyFill="1" applyBorder="1" applyAlignment="1">
      <alignment horizontal="left"/>
    </xf>
    <xf numFmtId="0" fontId="4" fillId="0" borderId="0" xfId="0" applyFont="1"/>
    <xf numFmtId="0" fontId="2" fillId="0" borderId="0" xfId="0" applyFont="1"/>
    <xf numFmtId="0" fontId="4" fillId="0" borderId="14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2" xfId="0" applyFont="1" applyBorder="1"/>
    <xf numFmtId="0" fontId="4" fillId="0" borderId="0" xfId="0" applyFont="1" applyBorder="1"/>
    <xf numFmtId="0" fontId="4" fillId="0" borderId="10" xfId="0" applyFont="1" applyBorder="1"/>
    <xf numFmtId="0" fontId="4" fillId="0" borderId="13" xfId="0" applyFont="1" applyBorder="1"/>
    <xf numFmtId="0" fontId="4" fillId="0" borderId="1" xfId="0" applyFont="1" applyBorder="1"/>
    <xf numFmtId="0" fontId="4" fillId="0" borderId="11" xfId="0" applyFont="1" applyBorder="1"/>
    <xf numFmtId="0" fontId="4" fillId="0" borderId="0" xfId="0" applyFont="1" applyFill="1" applyBorder="1" applyAlignment="1">
      <alignment horizontal="left"/>
    </xf>
    <xf numFmtId="164" fontId="4" fillId="4" borderId="1" xfId="1" applyNumberFormat="1" applyFont="1" applyFill="1" applyBorder="1"/>
    <xf numFmtId="0" fontId="3" fillId="2" borderId="5" xfId="0" applyFont="1" applyFill="1" applyBorder="1"/>
    <xf numFmtId="0" fontId="2" fillId="3" borderId="15" xfId="0" applyFont="1" applyFill="1" applyBorder="1" applyAlignment="1">
      <alignment horizontal="right"/>
    </xf>
    <xf numFmtId="0" fontId="2" fillId="3" borderId="16" xfId="0" applyFont="1" applyFill="1" applyBorder="1" applyAlignment="1">
      <alignment horizontal="center"/>
    </xf>
    <xf numFmtId="0" fontId="4" fillId="3" borderId="16" xfId="0" applyFont="1" applyFill="1" applyBorder="1"/>
    <xf numFmtId="0" fontId="3" fillId="3" borderId="16" xfId="0" applyFont="1" applyFill="1" applyBorder="1"/>
    <xf numFmtId="0" fontId="3" fillId="3" borderId="16" xfId="0" applyFont="1" applyFill="1" applyBorder="1" applyAlignment="1">
      <alignment horizontal="center"/>
    </xf>
    <xf numFmtId="0" fontId="3" fillId="3" borderId="17" xfId="0" applyFont="1" applyFill="1" applyBorder="1"/>
    <xf numFmtId="0" fontId="4" fillId="0" borderId="14" xfId="0" applyFont="1" applyFill="1" applyBorder="1" applyAlignment="1"/>
    <xf numFmtId="0" fontId="4" fillId="2" borderId="12" xfId="0" applyFont="1" applyFill="1" applyBorder="1" applyAlignment="1">
      <alignment horizontal="right"/>
    </xf>
    <xf numFmtId="0" fontId="5" fillId="3" borderId="16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5" fillId="6" borderId="14" xfId="0" applyFont="1" applyFill="1" applyBorder="1" applyAlignment="1">
      <alignment horizontal="center"/>
    </xf>
    <xf numFmtId="0" fontId="5" fillId="6" borderId="12" xfId="0" applyFont="1" applyFill="1" applyBorder="1" applyAlignment="1">
      <alignment horizontal="center"/>
    </xf>
    <xf numFmtId="0" fontId="5" fillId="6" borderId="13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2" fillId="0" borderId="8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2" fillId="0" borderId="0" xfId="2" applyFont="1"/>
    <xf numFmtId="0" fontId="4" fillId="0" borderId="0" xfId="2" applyFont="1"/>
    <xf numFmtId="0" fontId="4" fillId="0" borderId="14" xfId="2" applyFont="1" applyBorder="1"/>
    <xf numFmtId="0" fontId="4" fillId="0" borderId="8" xfId="2" applyFont="1" applyBorder="1"/>
    <xf numFmtId="0" fontId="4" fillId="0" borderId="9" xfId="2" applyFont="1" applyBorder="1"/>
    <xf numFmtId="0" fontId="4" fillId="0" borderId="12" xfId="2" applyFont="1" applyBorder="1"/>
    <xf numFmtId="0" fontId="4" fillId="0" borderId="0" xfId="2" applyFont="1" applyBorder="1"/>
    <xf numFmtId="0" fontId="4" fillId="0" borderId="10" xfId="2" applyFont="1" applyBorder="1"/>
    <xf numFmtId="0" fontId="4" fillId="0" borderId="13" xfId="2" applyFont="1" applyBorder="1"/>
    <xf numFmtId="0" fontId="4" fillId="0" borderId="1" xfId="2" applyFont="1" applyBorder="1"/>
    <xf numFmtId="0" fontId="4" fillId="0" borderId="11" xfId="2" applyFont="1" applyBorder="1"/>
    <xf numFmtId="0" fontId="2" fillId="0" borderId="1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15" fontId="2" fillId="0" borderId="0" xfId="0" applyNumberFormat="1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5" fillId="6" borderId="18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  <xf numFmtId="0" fontId="5" fillId="6" borderId="19" xfId="0" applyFont="1" applyFill="1" applyBorder="1" applyAlignment="1">
      <alignment horizontal="center"/>
    </xf>
    <xf numFmtId="0" fontId="2" fillId="7" borderId="15" xfId="0" applyFont="1" applyFill="1" applyBorder="1" applyAlignment="1">
      <alignment horizontal="center"/>
    </xf>
    <xf numFmtId="0" fontId="2" fillId="7" borderId="16" xfId="0" applyFont="1" applyFill="1" applyBorder="1" applyAlignment="1">
      <alignment horizontal="center"/>
    </xf>
    <xf numFmtId="0" fontId="2" fillId="7" borderId="17" xfId="0" applyFont="1" applyFill="1" applyBorder="1" applyAlignment="1">
      <alignment horizontal="center"/>
    </xf>
    <xf numFmtId="0" fontId="6" fillId="0" borderId="14" xfId="0" applyFont="1" applyFill="1" applyBorder="1" applyAlignment="1">
      <alignment horizontal="center"/>
    </xf>
    <xf numFmtId="0" fontId="6" fillId="0" borderId="8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</cellXfs>
  <cellStyles count="4">
    <cellStyle name="Comma" xfId="1" builtinId="3"/>
    <cellStyle name="Normal" xfId="0" builtinId="0"/>
    <cellStyle name="Normal_Sheet1" xfId="2" xr:uid="{00000000-0005-0000-0000-000002000000}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21</xdr:row>
          <xdr:rowOff>0</xdr:rowOff>
        </xdr:from>
        <xdr:to>
          <xdr:col>7</xdr:col>
          <xdr:colOff>0</xdr:colOff>
          <xdr:row>22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9</xdr:row>
          <xdr:rowOff>7620</xdr:rowOff>
        </xdr:from>
        <xdr:to>
          <xdr:col>6</xdr:col>
          <xdr:colOff>617220</xdr:colOff>
          <xdr:row>10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Calculate FV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12</xdr:row>
          <xdr:rowOff>15240</xdr:rowOff>
        </xdr:from>
        <xdr:to>
          <xdr:col>6</xdr:col>
          <xdr:colOff>617220</xdr:colOff>
          <xdr:row>14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Calculate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15</xdr:row>
          <xdr:rowOff>0</xdr:rowOff>
        </xdr:from>
        <xdr:to>
          <xdr:col>6</xdr:col>
          <xdr:colOff>617220</xdr:colOff>
          <xdr:row>16</xdr:row>
          <xdr:rowOff>152400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Calculate PMT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18</xdr:row>
          <xdr:rowOff>0</xdr:rowOff>
        </xdr:from>
        <xdr:to>
          <xdr:col>7</xdr:col>
          <xdr:colOff>0</xdr:colOff>
          <xdr:row>20</xdr:row>
          <xdr:rowOff>7620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Calculate 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6</xdr:row>
          <xdr:rowOff>0</xdr:rowOff>
        </xdr:from>
        <xdr:to>
          <xdr:col>6</xdr:col>
          <xdr:colOff>617220</xdr:colOff>
          <xdr:row>8</xdr:row>
          <xdr:rowOff>7620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Calculate PV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35"/>
  <sheetViews>
    <sheetView workbookViewId="0">
      <selection activeCell="K7" sqref="K7"/>
    </sheetView>
  </sheetViews>
  <sheetFormatPr defaultRowHeight="13.2" x14ac:dyDescent="0.25"/>
  <cols>
    <col min="5" max="5" width="9.88671875" bestFit="1" customWidth="1"/>
    <col min="9" max="9" width="13.44140625" customWidth="1"/>
  </cols>
  <sheetData>
    <row r="1" spans="2:9" ht="15.6" x14ac:dyDescent="0.3">
      <c r="B1" s="61"/>
      <c r="C1" s="61"/>
      <c r="D1" s="61"/>
      <c r="E1" s="61"/>
      <c r="F1" s="61"/>
      <c r="G1" s="61"/>
      <c r="H1" s="61"/>
      <c r="I1" s="61"/>
    </row>
    <row r="2" spans="2:9" ht="15.6" x14ac:dyDescent="0.3">
      <c r="B2" s="109" t="str">
        <f>'Financial Calculator'!B2:O2</f>
        <v>Teaching Tool 12 - Financial Calculator for Excel</v>
      </c>
      <c r="C2" s="110"/>
      <c r="D2" s="110"/>
      <c r="E2" s="110"/>
      <c r="F2" s="110"/>
      <c r="G2" s="110"/>
      <c r="H2" s="110"/>
      <c r="I2" s="111"/>
    </row>
    <row r="3" spans="2:9" ht="15.6" x14ac:dyDescent="0.3">
      <c r="B3" s="105"/>
      <c r="C3" s="106"/>
      <c r="D3" s="106"/>
      <c r="E3" s="108">
        <v>39392</v>
      </c>
      <c r="F3" s="106"/>
      <c r="G3" s="106"/>
      <c r="H3" s="106"/>
      <c r="I3" s="107"/>
    </row>
    <row r="4" spans="2:9" ht="15.6" x14ac:dyDescent="0.3">
      <c r="B4" s="112" t="s">
        <v>50</v>
      </c>
      <c r="C4" s="113"/>
      <c r="D4" s="113"/>
      <c r="E4" s="113"/>
      <c r="F4" s="113"/>
      <c r="G4" s="113"/>
      <c r="H4" s="113"/>
      <c r="I4" s="114"/>
    </row>
    <row r="5" spans="2:9" ht="15.6" x14ac:dyDescent="0.3">
      <c r="B5" s="61"/>
      <c r="C5" s="61"/>
      <c r="D5" s="61"/>
      <c r="E5" s="61"/>
      <c r="F5" s="61"/>
      <c r="G5" s="61"/>
      <c r="H5" s="61"/>
      <c r="I5" s="61"/>
    </row>
    <row r="6" spans="2:9" ht="15.6" x14ac:dyDescent="0.3">
      <c r="B6" s="62" t="s">
        <v>31</v>
      </c>
      <c r="C6" s="61"/>
      <c r="D6" s="61"/>
      <c r="E6" s="61"/>
      <c r="F6" s="61"/>
      <c r="G6" s="61"/>
      <c r="H6" s="61"/>
      <c r="I6" s="61"/>
    </row>
    <row r="7" spans="2:9" ht="15.6" x14ac:dyDescent="0.3">
      <c r="B7" s="63" t="s">
        <v>33</v>
      </c>
      <c r="C7" s="64"/>
      <c r="D7" s="64"/>
      <c r="E7" s="64"/>
      <c r="F7" s="64"/>
      <c r="G7" s="64"/>
      <c r="H7" s="64"/>
      <c r="I7" s="65"/>
    </row>
    <row r="8" spans="2:9" ht="15.6" x14ac:dyDescent="0.3">
      <c r="B8" s="66" t="s">
        <v>34</v>
      </c>
      <c r="C8" s="67"/>
      <c r="D8" s="67"/>
      <c r="E8" s="67"/>
      <c r="F8" s="67"/>
      <c r="G8" s="67"/>
      <c r="H8" s="67"/>
      <c r="I8" s="68"/>
    </row>
    <row r="9" spans="2:9" ht="15.6" x14ac:dyDescent="0.3">
      <c r="B9" s="66" t="s">
        <v>35</v>
      </c>
      <c r="C9" s="67"/>
      <c r="D9" s="67"/>
      <c r="E9" s="67"/>
      <c r="F9" s="67"/>
      <c r="G9" s="67"/>
      <c r="H9" s="67"/>
      <c r="I9" s="68"/>
    </row>
    <row r="10" spans="2:9" ht="15.6" x14ac:dyDescent="0.3">
      <c r="B10" s="69" t="s">
        <v>36</v>
      </c>
      <c r="C10" s="70"/>
      <c r="D10" s="70"/>
      <c r="E10" s="70"/>
      <c r="F10" s="70"/>
      <c r="G10" s="70"/>
      <c r="H10" s="70"/>
      <c r="I10" s="71"/>
    </row>
    <row r="11" spans="2:9" ht="15.6" x14ac:dyDescent="0.3">
      <c r="B11" s="61"/>
      <c r="C11" s="61"/>
      <c r="D11" s="61"/>
      <c r="E11" s="61"/>
      <c r="F11" s="61"/>
      <c r="G11" s="61"/>
      <c r="H11" s="61"/>
      <c r="I11" s="61"/>
    </row>
    <row r="12" spans="2:9" ht="15.6" x14ac:dyDescent="0.3">
      <c r="B12" s="94" t="s">
        <v>32</v>
      </c>
      <c r="C12" s="95"/>
      <c r="D12" s="95"/>
      <c r="E12" s="95"/>
      <c r="F12" s="95"/>
      <c r="G12" s="95"/>
      <c r="H12" s="95"/>
      <c r="I12" s="95"/>
    </row>
    <row r="13" spans="2:9" ht="15.6" x14ac:dyDescent="0.3">
      <c r="B13" s="96" t="s">
        <v>53</v>
      </c>
      <c r="C13" s="97"/>
      <c r="D13" s="97"/>
      <c r="E13" s="97"/>
      <c r="F13" s="97"/>
      <c r="G13" s="97"/>
      <c r="H13" s="97"/>
      <c r="I13" s="98"/>
    </row>
    <row r="14" spans="2:9" ht="15.6" x14ac:dyDescent="0.3">
      <c r="B14" s="99" t="s">
        <v>54</v>
      </c>
      <c r="C14" s="100"/>
      <c r="D14" s="100"/>
      <c r="E14" s="100"/>
      <c r="F14" s="100"/>
      <c r="G14" s="100"/>
      <c r="H14" s="100"/>
      <c r="I14" s="101"/>
    </row>
    <row r="15" spans="2:9" ht="15.6" x14ac:dyDescent="0.3">
      <c r="B15" s="99" t="s">
        <v>55</v>
      </c>
      <c r="C15" s="100"/>
      <c r="D15" s="100"/>
      <c r="E15" s="100"/>
      <c r="F15" s="100"/>
      <c r="G15" s="100"/>
      <c r="H15" s="100"/>
      <c r="I15" s="101"/>
    </row>
    <row r="16" spans="2:9" ht="15.6" x14ac:dyDescent="0.3">
      <c r="B16" s="99" t="s">
        <v>56</v>
      </c>
      <c r="C16" s="100"/>
      <c r="D16" s="100"/>
      <c r="E16" s="100"/>
      <c r="F16" s="100"/>
      <c r="G16" s="100"/>
      <c r="H16" s="100"/>
      <c r="I16" s="101"/>
    </row>
    <row r="17" spans="2:15" ht="15.6" x14ac:dyDescent="0.3">
      <c r="B17" s="102" t="s">
        <v>57</v>
      </c>
      <c r="C17" s="103"/>
      <c r="D17" s="103"/>
      <c r="E17" s="103"/>
      <c r="F17" s="103"/>
      <c r="G17" s="103"/>
      <c r="H17" s="103"/>
      <c r="I17" s="104"/>
    </row>
    <row r="19" spans="2:15" ht="15.6" x14ac:dyDescent="0.3">
      <c r="B19" s="49" t="s">
        <v>22</v>
      </c>
      <c r="C19" s="50"/>
      <c r="D19" s="50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</row>
    <row r="20" spans="2:15" ht="15.6" x14ac:dyDescent="0.3">
      <c r="B20" s="56" t="s">
        <v>37</v>
      </c>
      <c r="C20" s="57"/>
      <c r="D20" s="57"/>
      <c r="E20" s="57"/>
      <c r="F20" s="57"/>
      <c r="G20" s="57"/>
      <c r="H20" s="57"/>
      <c r="I20" s="58"/>
      <c r="J20" s="72"/>
      <c r="K20" s="72"/>
      <c r="L20" s="72"/>
      <c r="M20" s="72"/>
      <c r="N20" s="72"/>
      <c r="O20" s="72"/>
    </row>
    <row r="21" spans="2:15" ht="15.6" x14ac:dyDescent="0.3">
      <c r="B21" s="59" t="s">
        <v>40</v>
      </c>
      <c r="C21" s="50"/>
      <c r="D21" s="50"/>
      <c r="E21" s="51"/>
      <c r="F21" s="51"/>
      <c r="G21" s="51"/>
      <c r="H21" s="51"/>
      <c r="I21" s="52"/>
      <c r="J21" s="51"/>
      <c r="K21" s="51"/>
      <c r="L21" s="51"/>
      <c r="M21" s="51"/>
      <c r="N21" s="51"/>
      <c r="O21" s="51"/>
    </row>
    <row r="22" spans="2:15" ht="15.6" x14ac:dyDescent="0.3">
      <c r="B22" s="59" t="s">
        <v>38</v>
      </c>
      <c r="C22" s="50"/>
      <c r="D22" s="50"/>
      <c r="E22" s="51"/>
      <c r="F22" s="51"/>
      <c r="G22" s="51"/>
      <c r="H22" s="51"/>
      <c r="I22" s="52"/>
      <c r="J22" s="51"/>
      <c r="K22" s="51"/>
      <c r="L22" s="51"/>
      <c r="M22" s="51"/>
      <c r="N22" s="51"/>
      <c r="O22" s="51"/>
    </row>
    <row r="23" spans="2:15" ht="15.6" x14ac:dyDescent="0.3">
      <c r="B23" s="59" t="s">
        <v>39</v>
      </c>
      <c r="C23" s="50"/>
      <c r="D23" s="50"/>
      <c r="E23" s="51"/>
      <c r="F23" s="51"/>
      <c r="G23" s="51"/>
      <c r="H23" s="51"/>
      <c r="I23" s="52"/>
      <c r="J23" s="51"/>
      <c r="K23" s="51"/>
      <c r="L23" s="51"/>
      <c r="M23" s="51"/>
      <c r="N23" s="51"/>
      <c r="O23" s="51"/>
    </row>
    <row r="24" spans="2:15" ht="15.6" x14ac:dyDescent="0.3">
      <c r="B24" s="59"/>
      <c r="C24" s="50"/>
      <c r="D24" s="50"/>
      <c r="E24" s="51"/>
      <c r="F24" s="51"/>
      <c r="G24" s="51"/>
      <c r="H24" s="51"/>
      <c r="I24" s="52"/>
      <c r="J24" s="51"/>
      <c r="K24" s="51"/>
      <c r="L24" s="51"/>
      <c r="M24" s="51"/>
      <c r="N24" s="51"/>
      <c r="O24" s="51"/>
    </row>
    <row r="25" spans="2:15" ht="15.6" x14ac:dyDescent="0.3">
      <c r="B25" s="59" t="s">
        <v>41</v>
      </c>
      <c r="C25" s="50"/>
      <c r="D25" s="50"/>
      <c r="E25" s="51"/>
      <c r="F25" s="51"/>
      <c r="G25" s="51"/>
      <c r="H25" s="51"/>
      <c r="I25" s="52"/>
      <c r="J25" s="51"/>
      <c r="K25" s="51"/>
      <c r="L25" s="51"/>
      <c r="M25" s="51"/>
      <c r="N25" s="51"/>
      <c r="O25" s="51"/>
    </row>
    <row r="26" spans="2:15" ht="15.6" x14ac:dyDescent="0.3">
      <c r="B26" s="59" t="s">
        <v>42</v>
      </c>
      <c r="C26" s="50"/>
      <c r="D26" s="50"/>
      <c r="E26" s="51"/>
      <c r="F26" s="51"/>
      <c r="G26" s="51"/>
      <c r="H26" s="51"/>
      <c r="I26" s="52"/>
      <c r="J26" s="51"/>
      <c r="K26" s="51"/>
      <c r="L26" s="51"/>
      <c r="M26" s="51"/>
      <c r="N26" s="51"/>
      <c r="O26" s="51"/>
    </row>
    <row r="27" spans="2:15" ht="15.6" x14ac:dyDescent="0.3">
      <c r="B27" s="59" t="s">
        <v>43</v>
      </c>
      <c r="C27" s="50"/>
      <c r="D27" s="50"/>
      <c r="E27" s="51"/>
      <c r="F27" s="51"/>
      <c r="G27" s="51"/>
      <c r="H27" s="51"/>
      <c r="I27" s="52"/>
      <c r="J27" s="51"/>
      <c r="K27" s="51"/>
      <c r="L27" s="51"/>
      <c r="M27" s="51"/>
      <c r="N27" s="51"/>
      <c r="O27" s="51"/>
    </row>
    <row r="28" spans="2:15" ht="15.6" x14ac:dyDescent="0.3">
      <c r="B28" s="59"/>
      <c r="C28" s="50"/>
      <c r="D28" s="50"/>
      <c r="E28" s="51"/>
      <c r="F28" s="51"/>
      <c r="G28" s="51"/>
      <c r="H28" s="51"/>
      <c r="I28" s="52"/>
      <c r="J28" s="51"/>
      <c r="K28" s="51"/>
      <c r="L28" s="51"/>
      <c r="M28" s="51"/>
      <c r="N28" s="51"/>
      <c r="O28" s="51"/>
    </row>
    <row r="29" spans="2:15" ht="15.6" x14ac:dyDescent="0.3">
      <c r="B29" s="59" t="s">
        <v>44</v>
      </c>
      <c r="C29" s="50"/>
      <c r="D29" s="50"/>
      <c r="E29" s="51"/>
      <c r="F29" s="51"/>
      <c r="G29" s="51"/>
      <c r="H29" s="51"/>
      <c r="I29" s="52"/>
      <c r="J29" s="51"/>
      <c r="K29" s="51"/>
      <c r="L29" s="51"/>
      <c r="M29" s="51"/>
      <c r="N29" s="51"/>
      <c r="O29" s="51"/>
    </row>
    <row r="30" spans="2:15" ht="15.6" x14ac:dyDescent="0.3">
      <c r="B30" s="59" t="s">
        <v>45</v>
      </c>
      <c r="C30" s="50"/>
      <c r="D30" s="50"/>
      <c r="E30" s="51"/>
      <c r="F30" s="51"/>
      <c r="G30" s="51"/>
      <c r="H30" s="51"/>
      <c r="I30" s="52"/>
      <c r="J30" s="51"/>
      <c r="K30" s="51"/>
      <c r="L30" s="51"/>
      <c r="M30" s="51"/>
      <c r="N30" s="51"/>
      <c r="O30" s="51"/>
    </row>
    <row r="31" spans="2:15" ht="15.6" x14ac:dyDescent="0.3">
      <c r="B31" s="59" t="s">
        <v>46</v>
      </c>
      <c r="C31" s="50"/>
      <c r="D31" s="50"/>
      <c r="E31" s="51"/>
      <c r="F31" s="51"/>
      <c r="G31" s="51"/>
      <c r="H31" s="51"/>
      <c r="I31" s="52"/>
      <c r="J31" s="51"/>
      <c r="K31" s="51"/>
      <c r="L31" s="51"/>
      <c r="M31" s="51"/>
      <c r="N31" s="51"/>
      <c r="O31" s="51"/>
    </row>
    <row r="32" spans="2:15" ht="15.6" x14ac:dyDescent="0.3">
      <c r="B32" s="59" t="s">
        <v>47</v>
      </c>
      <c r="C32" s="50"/>
      <c r="D32" s="50"/>
      <c r="E32" s="51"/>
      <c r="F32" s="51"/>
      <c r="G32" s="51"/>
      <c r="H32" s="51"/>
      <c r="I32" s="52"/>
      <c r="J32" s="51"/>
      <c r="K32" s="51"/>
      <c r="L32" s="51"/>
      <c r="M32" s="51"/>
      <c r="N32" s="51"/>
      <c r="O32" s="51"/>
    </row>
    <row r="33" spans="2:15" ht="15.6" x14ac:dyDescent="0.3">
      <c r="B33" s="59" t="s">
        <v>48</v>
      </c>
      <c r="C33" s="50"/>
      <c r="D33" s="50"/>
      <c r="E33" s="51"/>
      <c r="F33" s="51"/>
      <c r="G33" s="51"/>
      <c r="H33" s="51"/>
      <c r="I33" s="52"/>
      <c r="J33" s="51"/>
      <c r="K33" s="51"/>
      <c r="L33" s="51"/>
      <c r="M33" s="51"/>
      <c r="N33" s="51"/>
      <c r="O33" s="51"/>
    </row>
    <row r="34" spans="2:15" ht="15.6" x14ac:dyDescent="0.3">
      <c r="B34" s="60" t="s">
        <v>49</v>
      </c>
      <c r="C34" s="53"/>
      <c r="D34" s="53"/>
      <c r="E34" s="54"/>
      <c r="F34" s="54"/>
      <c r="G34" s="54"/>
      <c r="H34" s="54"/>
      <c r="I34" s="55"/>
      <c r="J34" s="51"/>
      <c r="K34" s="51"/>
      <c r="L34" s="51"/>
      <c r="M34" s="51"/>
      <c r="N34" s="51"/>
      <c r="O34" s="51"/>
    </row>
    <row r="35" spans="2:15" ht="15.6" x14ac:dyDescent="0.3">
      <c r="B35" s="50"/>
      <c r="C35" s="50"/>
      <c r="D35" s="50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</row>
  </sheetData>
  <mergeCells count="2">
    <mergeCell ref="B2:I2"/>
    <mergeCell ref="B4:I4"/>
  </mergeCells>
  <phoneticPr fontId="0" type="noConversion"/>
  <pageMargins left="0.75" right="0.75" top="1" bottom="1" header="0.5" footer="0.5"/>
  <pageSetup orientation="portrait" horizontalDpi="4294967293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Q40"/>
  <sheetViews>
    <sheetView tabSelected="1" topLeftCell="A4" workbookViewId="0">
      <selection activeCell="D9" sqref="D9"/>
    </sheetView>
  </sheetViews>
  <sheetFormatPr defaultColWidth="9.109375" defaultRowHeight="15.6" x14ac:dyDescent="0.3"/>
  <cols>
    <col min="1" max="1" width="3.6640625" style="7" customWidth="1"/>
    <col min="2" max="2" width="18.6640625" style="12" customWidth="1"/>
    <col min="3" max="3" width="6.6640625" style="8" customWidth="1"/>
    <col min="4" max="4" width="18" style="9" bestFit="1" customWidth="1"/>
    <col min="5" max="5" width="3" style="7" customWidth="1"/>
    <col min="6" max="7" width="9.109375" style="7"/>
    <col min="8" max="8" width="3.6640625" style="7" customWidth="1"/>
    <col min="9" max="9" width="4.33203125" style="93" customWidth="1"/>
    <col min="10" max="14" width="4.6640625" style="10" customWidth="1"/>
    <col min="15" max="15" width="4.6640625" style="7" customWidth="1"/>
    <col min="16" max="16" width="3.88671875" style="7" customWidth="1"/>
    <col min="17" max="16384" width="9.109375" style="7"/>
  </cols>
  <sheetData>
    <row r="1" spans="1:17" x14ac:dyDescent="0.3">
      <c r="B1" s="118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20"/>
    </row>
    <row r="2" spans="1:17" ht="17.399999999999999" x14ac:dyDescent="0.3">
      <c r="B2" s="121" t="s">
        <v>30</v>
      </c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3"/>
    </row>
    <row r="3" spans="1:17" ht="18" thickBot="1" x14ac:dyDescent="0.35">
      <c r="B3" s="124" t="s">
        <v>50</v>
      </c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6"/>
    </row>
    <row r="4" spans="1:17" x14ac:dyDescent="0.3">
      <c r="A4" s="74"/>
      <c r="B4" s="75"/>
      <c r="C4" s="76"/>
      <c r="D4" s="77"/>
      <c r="E4" s="78"/>
      <c r="F4" s="78"/>
      <c r="G4" s="78"/>
      <c r="H4" s="78"/>
      <c r="I4" s="83"/>
      <c r="J4" s="79"/>
      <c r="K4" s="79"/>
      <c r="L4" s="79"/>
      <c r="M4" s="79"/>
      <c r="N4" s="79"/>
      <c r="O4" s="80"/>
    </row>
    <row r="5" spans="1:17" x14ac:dyDescent="0.3">
      <c r="A5" s="74"/>
      <c r="B5" s="13"/>
      <c r="C5" s="15"/>
      <c r="D5" s="23"/>
      <c r="E5" s="24"/>
      <c r="F5" s="24"/>
      <c r="G5" s="24"/>
      <c r="H5" s="24"/>
      <c r="I5" s="115" t="s">
        <v>4</v>
      </c>
      <c r="J5" s="116"/>
      <c r="K5" s="116"/>
      <c r="L5" s="116"/>
      <c r="M5" s="116"/>
      <c r="N5" s="117"/>
      <c r="O5" s="17"/>
      <c r="Q5" s="7" t="s">
        <v>10</v>
      </c>
    </row>
    <row r="6" spans="1:17" x14ac:dyDescent="0.3">
      <c r="A6" s="74"/>
      <c r="B6" s="13"/>
      <c r="C6" s="15"/>
      <c r="D6" s="23"/>
      <c r="E6" s="24"/>
      <c r="F6" s="24"/>
      <c r="G6" s="24"/>
      <c r="H6" s="24"/>
      <c r="I6" s="84"/>
      <c r="J6" s="25" t="s">
        <v>5</v>
      </c>
      <c r="K6" s="25" t="s">
        <v>0</v>
      </c>
      <c r="L6" s="25" t="s">
        <v>6</v>
      </c>
      <c r="M6" s="25" t="s">
        <v>7</v>
      </c>
      <c r="N6" s="25" t="s">
        <v>8</v>
      </c>
      <c r="O6" s="17"/>
      <c r="Q6" s="7" t="s">
        <v>11</v>
      </c>
    </row>
    <row r="7" spans="1:17" x14ac:dyDescent="0.3">
      <c r="A7" s="74"/>
      <c r="B7" s="13" t="s">
        <v>14</v>
      </c>
      <c r="C7" s="15" t="s">
        <v>5</v>
      </c>
      <c r="D7" s="18">
        <f ca="1">PV(I/PY,N,PMT,FV,endperiod)</f>
        <v>-1220925.1296153008</v>
      </c>
      <c r="E7" s="26"/>
      <c r="F7" s="26"/>
      <c r="G7" s="26"/>
      <c r="H7" s="26"/>
      <c r="I7" s="85" t="s">
        <v>5</v>
      </c>
      <c r="J7" s="34"/>
      <c r="K7" s="34" t="s">
        <v>9</v>
      </c>
      <c r="L7" s="34" t="s">
        <v>9</v>
      </c>
      <c r="M7" s="34" t="s">
        <v>9</v>
      </c>
      <c r="N7" s="35"/>
      <c r="O7" s="27"/>
      <c r="Q7" s="7" t="s">
        <v>12</v>
      </c>
    </row>
    <row r="8" spans="1:17" x14ac:dyDescent="0.3">
      <c r="A8" s="74"/>
      <c r="B8" s="13"/>
      <c r="C8" s="15"/>
      <c r="D8" s="23"/>
      <c r="E8" s="26"/>
      <c r="F8" s="26"/>
      <c r="G8" s="26"/>
      <c r="H8" s="26"/>
      <c r="I8" s="86"/>
      <c r="J8" s="36"/>
      <c r="K8" s="36" t="s">
        <v>9</v>
      </c>
      <c r="L8" s="36" t="s">
        <v>9</v>
      </c>
      <c r="M8" s="36"/>
      <c r="N8" s="37" t="s">
        <v>9</v>
      </c>
      <c r="O8" s="27"/>
    </row>
    <row r="9" spans="1:17" x14ac:dyDescent="0.3">
      <c r="A9" s="74"/>
      <c r="B9" s="13" t="s">
        <v>15</v>
      </c>
      <c r="C9" s="15" t="s">
        <v>0</v>
      </c>
      <c r="D9" s="19">
        <f ca="1">NPER(I/PY,PMT,PV,FV,endperiod)</f>
        <v>0</v>
      </c>
      <c r="E9" s="26"/>
      <c r="F9" s="26"/>
      <c r="G9" s="26"/>
      <c r="H9" s="26"/>
      <c r="I9" s="86"/>
      <c r="J9" s="36"/>
      <c r="K9" s="36" t="s">
        <v>9</v>
      </c>
      <c r="L9" s="36" t="s">
        <v>9</v>
      </c>
      <c r="M9" s="36" t="s">
        <v>9</v>
      </c>
      <c r="N9" s="37" t="s">
        <v>9</v>
      </c>
      <c r="O9" s="27"/>
    </row>
    <row r="10" spans="1:17" x14ac:dyDescent="0.3">
      <c r="A10" s="74"/>
      <c r="B10" s="13" t="s">
        <v>51</v>
      </c>
      <c r="C10" s="15" t="s">
        <v>52</v>
      </c>
      <c r="D10" s="20">
        <v>12</v>
      </c>
      <c r="E10" s="26"/>
      <c r="F10" s="26"/>
      <c r="G10" s="26"/>
      <c r="H10" s="26"/>
      <c r="I10" s="86" t="s">
        <v>7</v>
      </c>
      <c r="J10" s="36" t="s">
        <v>9</v>
      </c>
      <c r="K10" s="36" t="s">
        <v>9</v>
      </c>
      <c r="L10" s="36" t="s">
        <v>9</v>
      </c>
      <c r="M10" s="36"/>
      <c r="N10" s="37"/>
      <c r="O10" s="27"/>
    </row>
    <row r="11" spans="1:17" x14ac:dyDescent="0.3">
      <c r="A11" s="74"/>
      <c r="B11" s="13"/>
      <c r="C11" s="15"/>
      <c r="D11" s="33"/>
      <c r="E11" s="26"/>
      <c r="F11" s="26"/>
      <c r="G11" s="26"/>
      <c r="H11" s="26"/>
      <c r="I11" s="86"/>
      <c r="J11" s="36"/>
      <c r="K11" s="36" t="s">
        <v>9</v>
      </c>
      <c r="L11" s="36" t="s">
        <v>9</v>
      </c>
      <c r="M11" s="36"/>
      <c r="N11" s="37" t="s">
        <v>9</v>
      </c>
      <c r="O11" s="27"/>
    </row>
    <row r="12" spans="1:17" x14ac:dyDescent="0.3">
      <c r="A12" s="74"/>
      <c r="B12" s="13" t="s">
        <v>16</v>
      </c>
      <c r="C12" s="15" t="s">
        <v>6</v>
      </c>
      <c r="D12" s="21">
        <v>0.3</v>
      </c>
      <c r="E12" s="26"/>
      <c r="F12" s="26"/>
      <c r="G12" s="26"/>
      <c r="H12" s="26"/>
      <c r="I12" s="86"/>
      <c r="J12" s="36" t="s">
        <v>9</v>
      </c>
      <c r="K12" s="36" t="s">
        <v>9</v>
      </c>
      <c r="L12" s="36" t="s">
        <v>9</v>
      </c>
      <c r="M12" s="36"/>
      <c r="N12" s="37" t="s">
        <v>9</v>
      </c>
      <c r="O12" s="27"/>
    </row>
    <row r="13" spans="1:17" x14ac:dyDescent="0.3">
      <c r="A13" s="74"/>
      <c r="B13" s="13"/>
      <c r="C13" s="15"/>
      <c r="D13" s="33"/>
      <c r="E13" s="26"/>
      <c r="F13" s="26"/>
      <c r="G13" s="26"/>
      <c r="H13" s="26"/>
      <c r="I13" s="86" t="s">
        <v>6</v>
      </c>
      <c r="J13" s="36" t="s">
        <v>9</v>
      </c>
      <c r="K13" s="36" t="s">
        <v>9</v>
      </c>
      <c r="L13" s="36"/>
      <c r="M13" s="36" t="s">
        <v>9</v>
      </c>
      <c r="N13" s="37"/>
      <c r="O13" s="27"/>
    </row>
    <row r="14" spans="1:17" x14ac:dyDescent="0.3">
      <c r="A14" s="74"/>
      <c r="B14" s="13" t="s">
        <v>17</v>
      </c>
      <c r="C14" s="15" t="s">
        <v>7</v>
      </c>
      <c r="D14" s="73">
        <v>3000000</v>
      </c>
      <c r="E14" s="26"/>
      <c r="F14" s="26"/>
      <c r="G14" s="26"/>
      <c r="H14" s="26"/>
      <c r="I14" s="86"/>
      <c r="J14" s="36" t="s">
        <v>9</v>
      </c>
      <c r="K14" s="36" t="s">
        <v>9</v>
      </c>
      <c r="L14" s="36"/>
      <c r="M14" s="36"/>
      <c r="N14" s="37" t="s">
        <v>9</v>
      </c>
      <c r="O14" s="27"/>
    </row>
    <row r="15" spans="1:17" x14ac:dyDescent="0.3">
      <c r="A15" s="74"/>
      <c r="B15" s="13"/>
      <c r="C15" s="15"/>
      <c r="D15" s="23"/>
      <c r="E15" s="26"/>
      <c r="F15" s="26"/>
      <c r="G15" s="26"/>
      <c r="H15" s="26"/>
      <c r="I15" s="86"/>
      <c r="J15" s="36" t="s">
        <v>9</v>
      </c>
      <c r="K15" s="36" t="s">
        <v>9</v>
      </c>
      <c r="L15" s="36"/>
      <c r="M15" s="36" t="s">
        <v>9</v>
      </c>
      <c r="N15" s="37" t="s">
        <v>9</v>
      </c>
      <c r="O15" s="27"/>
    </row>
    <row r="16" spans="1:17" x14ac:dyDescent="0.3">
      <c r="A16" s="74"/>
      <c r="B16" s="13" t="s">
        <v>18</v>
      </c>
      <c r="C16" s="15" t="s">
        <v>8</v>
      </c>
      <c r="D16" s="40">
        <v>-10000</v>
      </c>
      <c r="E16" s="26"/>
      <c r="F16" s="26"/>
      <c r="G16" s="26"/>
      <c r="H16" s="26"/>
      <c r="I16" s="86" t="s">
        <v>8</v>
      </c>
      <c r="J16" s="36" t="s">
        <v>9</v>
      </c>
      <c r="K16" s="36" t="s">
        <v>9</v>
      </c>
      <c r="L16" s="36" t="s">
        <v>9</v>
      </c>
      <c r="M16" s="36"/>
      <c r="N16" s="37"/>
      <c r="O16" s="27"/>
    </row>
    <row r="17" spans="1:15" x14ac:dyDescent="0.3">
      <c r="A17" s="74"/>
      <c r="B17" s="13"/>
      <c r="C17" s="15"/>
      <c r="D17" s="23"/>
      <c r="E17" s="26"/>
      <c r="F17" s="26"/>
      <c r="G17" s="26"/>
      <c r="H17" s="26"/>
      <c r="I17" s="86"/>
      <c r="J17" s="36"/>
      <c r="K17" s="36" t="s">
        <v>9</v>
      </c>
      <c r="L17" s="36" t="s">
        <v>9</v>
      </c>
      <c r="M17" s="36" t="s">
        <v>9</v>
      </c>
      <c r="N17" s="37"/>
      <c r="O17" s="27"/>
    </row>
    <row r="18" spans="1:15" x14ac:dyDescent="0.3">
      <c r="A18" s="74"/>
      <c r="B18" s="13" t="s">
        <v>19</v>
      </c>
      <c r="C18" s="15" t="s">
        <v>1</v>
      </c>
      <c r="D18" s="22"/>
      <c r="E18" s="26"/>
      <c r="F18" s="26"/>
      <c r="G18" s="26"/>
      <c r="H18" s="26"/>
      <c r="I18" s="86"/>
      <c r="J18" s="36" t="s">
        <v>9</v>
      </c>
      <c r="K18" s="36" t="s">
        <v>9</v>
      </c>
      <c r="L18" s="36" t="s">
        <v>9</v>
      </c>
      <c r="M18" s="36" t="s">
        <v>9</v>
      </c>
      <c r="N18" s="37"/>
      <c r="O18" s="27"/>
    </row>
    <row r="19" spans="1:15" x14ac:dyDescent="0.3">
      <c r="A19" s="74"/>
      <c r="B19" s="13" t="s">
        <v>2</v>
      </c>
      <c r="C19" s="15"/>
      <c r="D19" s="23"/>
      <c r="E19" s="26"/>
      <c r="F19" s="26"/>
      <c r="G19" s="26"/>
      <c r="H19" s="26"/>
      <c r="I19" s="86" t="s">
        <v>0</v>
      </c>
      <c r="J19" s="36" t="s">
        <v>9</v>
      </c>
      <c r="K19" s="36"/>
      <c r="L19" s="36" t="s">
        <v>9</v>
      </c>
      <c r="M19" s="36" t="s">
        <v>9</v>
      </c>
      <c r="N19" s="37"/>
      <c r="O19" s="27"/>
    </row>
    <row r="20" spans="1:15" x14ac:dyDescent="0.3">
      <c r="A20" s="74"/>
      <c r="B20" s="13" t="s">
        <v>3</v>
      </c>
      <c r="C20" s="15"/>
      <c r="D20" s="23"/>
      <c r="E20" s="26"/>
      <c r="F20" s="26"/>
      <c r="G20" s="26"/>
      <c r="H20" s="26"/>
      <c r="I20" s="86"/>
      <c r="J20" s="36" t="s">
        <v>9</v>
      </c>
      <c r="K20" s="36"/>
      <c r="L20" s="36" t="s">
        <v>9</v>
      </c>
      <c r="M20" s="36" t="s">
        <v>9</v>
      </c>
      <c r="N20" s="37" t="s">
        <v>9</v>
      </c>
      <c r="O20" s="27"/>
    </row>
    <row r="21" spans="1:15" x14ac:dyDescent="0.3">
      <c r="A21" s="74"/>
      <c r="B21" s="13"/>
      <c r="C21" s="15"/>
      <c r="D21" s="23"/>
      <c r="E21" s="26"/>
      <c r="F21" s="26"/>
      <c r="G21" s="26"/>
      <c r="H21" s="26"/>
      <c r="I21" s="87"/>
      <c r="J21" s="38" t="s">
        <v>9</v>
      </c>
      <c r="K21" s="38"/>
      <c r="L21" s="38" t="s">
        <v>9</v>
      </c>
      <c r="M21" s="38"/>
      <c r="N21" s="39" t="s">
        <v>9</v>
      </c>
      <c r="O21" s="27"/>
    </row>
    <row r="22" spans="1:15" x14ac:dyDescent="0.3">
      <c r="A22" s="74"/>
      <c r="B22" s="13"/>
      <c r="C22" s="15"/>
      <c r="D22" s="23"/>
      <c r="E22" s="26"/>
      <c r="F22" s="26"/>
      <c r="G22" s="26"/>
      <c r="H22" s="26"/>
      <c r="I22" s="88"/>
      <c r="J22" s="28"/>
      <c r="K22" s="28"/>
      <c r="L22" s="28"/>
      <c r="M22" s="28"/>
      <c r="N22" s="28"/>
      <c r="O22" s="27"/>
    </row>
    <row r="23" spans="1:15" x14ac:dyDescent="0.3">
      <c r="A23" s="74"/>
      <c r="B23" s="13"/>
      <c r="C23" s="15"/>
      <c r="D23" s="23"/>
      <c r="E23" s="26"/>
      <c r="F23" s="26"/>
      <c r="G23" s="26"/>
      <c r="H23" s="26"/>
      <c r="I23" s="88"/>
      <c r="J23" s="28"/>
      <c r="K23" s="28"/>
      <c r="L23" s="28"/>
      <c r="M23" s="28"/>
      <c r="N23" s="28"/>
      <c r="O23" s="27"/>
    </row>
    <row r="24" spans="1:15" ht="16.2" thickBot="1" x14ac:dyDescent="0.35">
      <c r="A24" s="74"/>
      <c r="B24" s="14"/>
      <c r="C24" s="16"/>
      <c r="D24" s="32"/>
      <c r="E24" s="29"/>
      <c r="F24" s="29"/>
      <c r="G24" s="29"/>
      <c r="H24" s="29"/>
      <c r="I24" s="89"/>
      <c r="J24" s="30"/>
      <c r="K24" s="30"/>
      <c r="L24" s="30"/>
      <c r="M24" s="30"/>
      <c r="N24" s="30"/>
      <c r="O24" s="31"/>
    </row>
    <row r="25" spans="1:15" s="3" customFormat="1" x14ac:dyDescent="0.3">
      <c r="B25" s="11"/>
      <c r="C25" s="1"/>
      <c r="D25" s="5"/>
      <c r="I25" s="90"/>
      <c r="J25" s="2"/>
      <c r="K25" s="2"/>
      <c r="L25" s="2"/>
      <c r="M25" s="2"/>
      <c r="N25" s="2"/>
    </row>
    <row r="26" spans="1:15" s="3" customFormat="1" x14ac:dyDescent="0.3">
      <c r="B26" s="11" t="s">
        <v>22</v>
      </c>
      <c r="C26" s="1"/>
      <c r="D26" s="5"/>
      <c r="I26" s="90"/>
      <c r="J26" s="2"/>
      <c r="K26" s="2"/>
      <c r="L26" s="2"/>
      <c r="M26" s="2"/>
      <c r="N26" s="2"/>
    </row>
    <row r="27" spans="1:15" x14ac:dyDescent="0.3">
      <c r="B27" s="81" t="s">
        <v>23</v>
      </c>
      <c r="C27" s="41"/>
      <c r="D27" s="41"/>
      <c r="E27" s="41"/>
      <c r="F27" s="41"/>
      <c r="G27" s="41"/>
      <c r="H27" s="41"/>
      <c r="I27" s="91"/>
      <c r="J27" s="41"/>
      <c r="K27" s="41"/>
      <c r="L27" s="41"/>
      <c r="M27" s="41"/>
      <c r="N27" s="41"/>
      <c r="O27" s="42"/>
    </row>
    <row r="28" spans="1:15" x14ac:dyDescent="0.3">
      <c r="B28" s="59" t="s">
        <v>24</v>
      </c>
      <c r="C28" s="1"/>
      <c r="D28" s="5"/>
      <c r="E28" s="3"/>
      <c r="F28" s="3"/>
      <c r="G28" s="3"/>
      <c r="H28" s="3"/>
      <c r="I28" s="90"/>
      <c r="J28" s="2"/>
      <c r="K28" s="2"/>
      <c r="L28" s="2"/>
      <c r="M28" s="2"/>
      <c r="N28" s="2"/>
      <c r="O28" s="43"/>
    </row>
    <row r="29" spans="1:15" x14ac:dyDescent="0.3">
      <c r="B29" s="59" t="s">
        <v>25</v>
      </c>
      <c r="C29" s="1"/>
      <c r="D29" s="5"/>
      <c r="E29" s="3"/>
      <c r="F29" s="3"/>
      <c r="G29" s="3"/>
      <c r="H29" s="3"/>
      <c r="I29" s="90"/>
      <c r="J29" s="2"/>
      <c r="K29" s="2"/>
      <c r="L29" s="2"/>
      <c r="M29" s="2"/>
      <c r="N29" s="2"/>
      <c r="O29" s="43"/>
    </row>
    <row r="30" spans="1:15" x14ac:dyDescent="0.3">
      <c r="B30" s="82"/>
      <c r="C30" s="1"/>
      <c r="D30" s="5"/>
      <c r="E30" s="3"/>
      <c r="F30" s="3"/>
      <c r="G30" s="3"/>
      <c r="H30" s="3"/>
      <c r="I30" s="90"/>
      <c r="J30" s="2"/>
      <c r="K30" s="2"/>
      <c r="L30" s="2"/>
      <c r="M30" s="2"/>
      <c r="N30" s="2"/>
      <c r="O30" s="43"/>
    </row>
    <row r="31" spans="1:15" x14ac:dyDescent="0.3">
      <c r="B31" s="59" t="s">
        <v>13</v>
      </c>
      <c r="C31" s="1"/>
      <c r="D31" s="5"/>
      <c r="E31" s="3"/>
      <c r="F31" s="3"/>
      <c r="G31" s="3"/>
      <c r="H31" s="3"/>
      <c r="I31" s="90"/>
      <c r="J31" s="2"/>
      <c r="K31" s="2"/>
      <c r="L31" s="2"/>
      <c r="M31" s="2"/>
      <c r="N31" s="2"/>
      <c r="O31" s="43"/>
    </row>
    <row r="32" spans="1:15" x14ac:dyDescent="0.3">
      <c r="B32" s="59" t="s">
        <v>20</v>
      </c>
      <c r="C32" s="1"/>
      <c r="D32" s="5"/>
      <c r="E32" s="3"/>
      <c r="F32" s="3"/>
      <c r="G32" s="3"/>
      <c r="H32" s="3"/>
      <c r="I32" s="90"/>
      <c r="J32" s="2"/>
      <c r="K32" s="2"/>
      <c r="L32" s="2"/>
      <c r="M32" s="2"/>
      <c r="N32" s="2"/>
      <c r="O32" s="43"/>
    </row>
    <row r="33" spans="2:15" x14ac:dyDescent="0.3">
      <c r="B33" s="59"/>
      <c r="C33" s="1"/>
      <c r="D33" s="5"/>
      <c r="E33" s="3"/>
      <c r="F33" s="3"/>
      <c r="G33" s="3"/>
      <c r="H33" s="3"/>
      <c r="I33" s="90"/>
      <c r="J33" s="2"/>
      <c r="K33" s="2"/>
      <c r="L33" s="2"/>
      <c r="M33" s="2"/>
      <c r="N33" s="2"/>
      <c r="O33" s="43"/>
    </row>
    <row r="34" spans="2:15" x14ac:dyDescent="0.3">
      <c r="B34" s="59" t="s">
        <v>21</v>
      </c>
      <c r="C34" s="1"/>
      <c r="D34" s="5"/>
      <c r="E34" s="3"/>
      <c r="F34" s="3"/>
      <c r="G34" s="3"/>
      <c r="H34" s="3"/>
      <c r="I34" s="90"/>
      <c r="J34" s="2"/>
      <c r="K34" s="2"/>
      <c r="L34" s="2"/>
      <c r="M34" s="2"/>
      <c r="N34" s="2"/>
      <c r="O34" s="43"/>
    </row>
    <row r="35" spans="2:15" x14ac:dyDescent="0.3">
      <c r="B35" s="59" t="s">
        <v>26</v>
      </c>
      <c r="C35" s="1"/>
      <c r="D35" s="5"/>
      <c r="E35" s="3"/>
      <c r="F35" s="3"/>
      <c r="G35" s="3"/>
      <c r="H35" s="3"/>
      <c r="I35" s="90"/>
      <c r="J35" s="2"/>
      <c r="K35" s="2"/>
      <c r="L35" s="2"/>
      <c r="M35" s="2"/>
      <c r="N35" s="2"/>
      <c r="O35" s="43"/>
    </row>
    <row r="36" spans="2:15" x14ac:dyDescent="0.3">
      <c r="B36" s="59" t="s">
        <v>27</v>
      </c>
      <c r="C36" s="1"/>
      <c r="D36" s="5"/>
      <c r="E36" s="3"/>
      <c r="F36" s="3"/>
      <c r="G36" s="3"/>
      <c r="H36" s="3"/>
      <c r="I36" s="90"/>
      <c r="J36" s="2"/>
      <c r="K36" s="2"/>
      <c r="L36" s="2"/>
      <c r="M36" s="2"/>
      <c r="N36" s="2"/>
      <c r="O36" s="43"/>
    </row>
    <row r="37" spans="2:15" x14ac:dyDescent="0.3">
      <c r="B37" s="59" t="s">
        <v>28</v>
      </c>
      <c r="C37" s="1"/>
      <c r="D37" s="5"/>
      <c r="E37" s="3"/>
      <c r="F37" s="3"/>
      <c r="G37" s="3"/>
      <c r="H37" s="3"/>
      <c r="I37" s="90"/>
      <c r="J37" s="2"/>
      <c r="K37" s="2"/>
      <c r="L37" s="2"/>
      <c r="M37" s="2"/>
      <c r="N37" s="2"/>
      <c r="O37" s="43"/>
    </row>
    <row r="38" spans="2:15" x14ac:dyDescent="0.3">
      <c r="B38" s="59" t="s">
        <v>29</v>
      </c>
      <c r="C38" s="1"/>
      <c r="D38" s="5"/>
      <c r="E38" s="3"/>
      <c r="F38" s="3"/>
      <c r="G38" s="3"/>
      <c r="H38" s="3"/>
      <c r="I38" s="90"/>
      <c r="J38" s="2"/>
      <c r="K38" s="2"/>
      <c r="L38" s="2"/>
      <c r="M38" s="2"/>
      <c r="N38" s="2"/>
      <c r="O38" s="43"/>
    </row>
    <row r="39" spans="2:15" x14ac:dyDescent="0.3">
      <c r="B39" s="44"/>
      <c r="C39" s="1"/>
      <c r="D39" s="5"/>
      <c r="E39" s="3"/>
      <c r="F39" s="3"/>
      <c r="G39" s="3"/>
      <c r="H39" s="3"/>
      <c r="I39" s="90"/>
      <c r="J39" s="2"/>
      <c r="K39" s="2"/>
      <c r="L39" s="2"/>
      <c r="M39" s="2"/>
      <c r="N39" s="2"/>
      <c r="O39" s="43"/>
    </row>
    <row r="40" spans="2:15" x14ac:dyDescent="0.3">
      <c r="B40" s="45"/>
      <c r="C40" s="46"/>
      <c r="D40" s="6"/>
      <c r="E40" s="47"/>
      <c r="F40" s="47"/>
      <c r="G40" s="47"/>
      <c r="H40" s="47"/>
      <c r="I40" s="92"/>
      <c r="J40" s="4"/>
      <c r="K40" s="4"/>
      <c r="L40" s="4"/>
      <c r="M40" s="4"/>
      <c r="N40" s="4"/>
      <c r="O40" s="48"/>
    </row>
  </sheetData>
  <mergeCells count="4">
    <mergeCell ref="I5:N5"/>
    <mergeCell ref="B1:O1"/>
    <mergeCell ref="B2:O2"/>
    <mergeCell ref="B3:O3"/>
  </mergeCells>
  <phoneticPr fontId="0" type="noConversion"/>
  <pageMargins left="0.75" right="0.75" top="1" bottom="1" header="0.5" footer="0.5"/>
  <pageSetup scale="85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_xludf.Clear">
                <anchor moveWithCells="1" sizeWithCells="1">
                  <from>
                    <xdr:col>5</xdr:col>
                    <xdr:colOff>7620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calculate_FV">
                <anchor moveWithCells="1" sizeWithCells="1">
                  <from>
                    <xdr:col>5</xdr:col>
                    <xdr:colOff>7620</xdr:colOff>
                    <xdr:row>9</xdr:row>
                    <xdr:rowOff>7620</xdr:rowOff>
                  </from>
                  <to>
                    <xdr:col>6</xdr:col>
                    <xdr:colOff>617220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Button 23">
              <controlPr defaultSize="0" print="0" autoFill="0" autoPict="0" macro="[0]!calculate_I">
                <anchor moveWithCells="1" sizeWithCells="1">
                  <from>
                    <xdr:col>5</xdr:col>
                    <xdr:colOff>7620</xdr:colOff>
                    <xdr:row>12</xdr:row>
                    <xdr:rowOff>15240</xdr:rowOff>
                  </from>
                  <to>
                    <xdr:col>6</xdr:col>
                    <xdr:colOff>617220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Button 24">
              <controlPr defaultSize="0" print="0" autoFill="0" autoPict="0" macro="[0]!calculate_PMT">
                <anchor moveWithCells="1" sizeWithCells="1">
                  <from>
                    <xdr:col>5</xdr:col>
                    <xdr:colOff>22860</xdr:colOff>
                    <xdr:row>15</xdr:row>
                    <xdr:rowOff>0</xdr:rowOff>
                  </from>
                  <to>
                    <xdr:col>6</xdr:col>
                    <xdr:colOff>617220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calculate_N">
                <anchor moveWithCells="1" sizeWithCells="1">
                  <from>
                    <xdr:col>5</xdr:col>
                    <xdr:colOff>7620</xdr:colOff>
                    <xdr:row>18</xdr:row>
                    <xdr:rowOff>0</xdr:rowOff>
                  </from>
                  <to>
                    <xdr:col>7</xdr:col>
                    <xdr:colOff>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Button 26">
              <controlPr defaultSize="0" print="0" autoFill="0" autoPict="0" macro="[0]!Calculate_PV">
                <anchor moveWithCells="1" sizeWithCells="1">
                  <from>
                    <xdr:col>5</xdr:col>
                    <xdr:colOff>7620</xdr:colOff>
                    <xdr:row>6</xdr:row>
                    <xdr:rowOff>0</xdr:rowOff>
                  </from>
                  <to>
                    <xdr:col>6</xdr:col>
                    <xdr:colOff>617220</xdr:colOff>
                    <xdr:row>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Introduction</vt:lpstr>
      <vt:lpstr>Financial Calculator</vt:lpstr>
      <vt:lpstr>endperiod</vt:lpstr>
      <vt:lpstr>FV</vt:lpstr>
      <vt:lpstr>I</vt:lpstr>
      <vt:lpstr>N</vt:lpstr>
      <vt:lpstr>PMT</vt:lpstr>
      <vt:lpstr>'Financial Calculator'!Print_Area</vt:lpstr>
      <vt:lpstr>PV</vt:lpstr>
      <vt:lpstr>PY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Sudweeks</dc:creator>
  <cp:lastModifiedBy>Vitrag Group</cp:lastModifiedBy>
  <cp:lastPrinted>2006-10-11T17:09:38Z</cp:lastPrinted>
  <dcterms:created xsi:type="dcterms:W3CDTF">2004-02-20T15:17:06Z</dcterms:created>
  <dcterms:modified xsi:type="dcterms:W3CDTF">2019-09-24T01:21:25Z</dcterms:modified>
</cp:coreProperties>
</file>