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-150" windowWidth="15105" windowHeight="4530" activeTab="1"/>
  </bookViews>
  <sheets>
    <sheet name="Data Input Sheet" sheetId="1" r:id="rId1"/>
    <sheet name="Summary" sheetId="2" r:id="rId2"/>
  </sheets>
  <definedNames>
    <definedName name="Actual_Paid">Summary!$B$37:$N$37</definedName>
    <definedName name="Labor_Rate_Schedule">Summary!$A$3:$D$15</definedName>
    <definedName name="_xlnm.Print_Area" localSheetId="0">'Data Input Sheet'!$A$1:$P$87</definedName>
    <definedName name="_xlnm.Print_Area" localSheetId="1">Summary!$A$1:$N$37</definedName>
    <definedName name="Z_6A84FC39_7CCC_4F40_857F_05D51DF9D1C8_.wvu.PrintArea" localSheetId="0" hidden="1">'Data Input Sheet'!$A$1:$N$87</definedName>
    <definedName name="Z_6A84FC39_7CCC_4F40_857F_05D51DF9D1C8_.wvu.PrintArea" localSheetId="1" hidden="1">Summary!$A$1:$N$38</definedName>
  </definedNames>
  <calcPr calcId="124519"/>
  <customWorkbookViews>
    <customWorkbookView name="Vaishali - Personal View" guid="{6A84FC39-7CCC-4F40-857F-05D51DF9D1C8}" mergeInterval="0" personalView="1" maximized="1" xWindow="1" yWindow="1" windowWidth="1024" windowHeight="505" activeSheetId="2"/>
  </customWorkbookViews>
</workbook>
</file>

<file path=xl/calcChain.xml><?xml version="1.0" encoding="utf-8"?>
<calcChain xmlns="http://schemas.openxmlformats.org/spreadsheetml/2006/main">
  <c r="P6" i="1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O6"/>
  <c r="O7"/>
  <c r="O8"/>
  <c r="O9"/>
  <c r="O10"/>
  <c r="O11"/>
  <c r="O12"/>
  <c r="O13"/>
  <c r="O14"/>
  <c r="O16"/>
  <c r="O17"/>
  <c r="O18"/>
  <c r="O19"/>
  <c r="O20"/>
  <c r="O21"/>
  <c r="O22"/>
  <c r="O23"/>
  <c r="O24"/>
  <c r="O25"/>
  <c r="O27"/>
  <c r="O28"/>
  <c r="O29"/>
  <c r="O30"/>
  <c r="O31"/>
  <c r="O32"/>
  <c r="O33"/>
  <c r="O34"/>
  <c r="O35"/>
  <c r="O36"/>
  <c r="O38"/>
  <c r="O39"/>
  <c r="O40"/>
  <c r="O41"/>
  <c r="O42"/>
  <c r="O43"/>
  <c r="O44"/>
  <c r="O45"/>
  <c r="O46"/>
  <c r="O47"/>
  <c r="O48"/>
  <c r="O49"/>
  <c r="O51"/>
  <c r="O52"/>
  <c r="O53"/>
  <c r="O54"/>
  <c r="O55"/>
  <c r="O56"/>
  <c r="O57"/>
  <c r="O58"/>
  <c r="O59"/>
  <c r="O60"/>
  <c r="O62"/>
  <c r="O63"/>
  <c r="O64"/>
  <c r="O65"/>
  <c r="O66"/>
  <c r="O67"/>
  <c r="O68"/>
  <c r="O69"/>
  <c r="O70"/>
  <c r="O71"/>
  <c r="O73"/>
  <c r="O74"/>
  <c r="O75"/>
  <c r="O76"/>
  <c r="O77"/>
  <c r="O78"/>
  <c r="O79"/>
  <c r="O80"/>
  <c r="O81"/>
  <c r="O82"/>
  <c r="P5"/>
  <c r="O5"/>
  <c r="O37" i="2"/>
  <c r="A80" i="1"/>
  <c r="D23" i="2"/>
  <c r="E36"/>
  <c r="L3"/>
  <c r="K3"/>
  <c r="G1" i="1"/>
  <c r="A7" i="2"/>
  <c r="A8"/>
  <c r="A9"/>
  <c r="A10"/>
  <c r="A11"/>
  <c r="A12"/>
  <c r="A13"/>
  <c r="A14"/>
  <c r="A15"/>
  <c r="A6"/>
  <c r="N49" i="1"/>
  <c r="C85"/>
  <c r="D85"/>
  <c r="E85"/>
  <c r="F85"/>
  <c r="G85"/>
  <c r="H85"/>
  <c r="I85"/>
  <c r="J85"/>
  <c r="K85"/>
  <c r="L85"/>
  <c r="M85"/>
  <c r="N85"/>
  <c r="B85"/>
  <c r="C49"/>
  <c r="D49"/>
  <c r="E49"/>
  <c r="F49"/>
  <c r="G49"/>
  <c r="H49"/>
  <c r="I49"/>
  <c r="J49"/>
  <c r="K49"/>
  <c r="L49"/>
  <c r="M49"/>
  <c r="B49"/>
  <c r="B4" l="1"/>
  <c r="B61" s="1"/>
  <c r="B26" l="1"/>
  <c r="B50"/>
  <c r="B72"/>
  <c r="B15"/>
  <c r="B37"/>
  <c r="B36" i="2" l="1"/>
  <c r="F36" l="1"/>
  <c r="G36"/>
  <c r="H36"/>
  <c r="I36"/>
  <c r="J36"/>
  <c r="K36"/>
  <c r="L36"/>
  <c r="M36"/>
  <c r="N36"/>
  <c r="C36"/>
  <c r="D36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6" i="1"/>
  <c r="A17"/>
  <c r="A18"/>
  <c r="A19"/>
  <c r="A20"/>
  <c r="A21"/>
  <c r="A22"/>
  <c r="A23"/>
  <c r="A24"/>
  <c r="A25"/>
  <c r="A27"/>
  <c r="A28"/>
  <c r="A29"/>
  <c r="A30"/>
  <c r="A31"/>
  <c r="A32"/>
  <c r="A33"/>
  <c r="A34"/>
  <c r="A35"/>
  <c r="A36"/>
  <c r="A38"/>
  <c r="A39"/>
  <c r="A40"/>
  <c r="A41"/>
  <c r="A42"/>
  <c r="A43"/>
  <c r="A44"/>
  <c r="A45"/>
  <c r="A46"/>
  <c r="A47"/>
  <c r="A51"/>
  <c r="A52"/>
  <c r="A53"/>
  <c r="A54"/>
  <c r="A55"/>
  <c r="A56"/>
  <c r="A57"/>
  <c r="A58"/>
  <c r="A59"/>
  <c r="A60"/>
  <c r="A62"/>
  <c r="A63"/>
  <c r="A64"/>
  <c r="A65"/>
  <c r="A66"/>
  <c r="A67"/>
  <c r="A68"/>
  <c r="A69"/>
  <c r="A70"/>
  <c r="A71"/>
  <c r="A73"/>
  <c r="A74"/>
  <c r="A75"/>
  <c r="A76"/>
  <c r="A77"/>
  <c r="A78"/>
  <c r="A79"/>
  <c r="A81"/>
  <c r="A82"/>
  <c r="N33" i="2"/>
  <c r="M33"/>
  <c r="L33"/>
  <c r="K33"/>
  <c r="J33"/>
  <c r="I33"/>
  <c r="H33"/>
  <c r="G33"/>
  <c r="F33"/>
  <c r="E33"/>
  <c r="D33"/>
  <c r="C33"/>
  <c r="B33"/>
  <c r="H15" l="1"/>
  <c r="H13"/>
  <c r="H12"/>
  <c r="H10"/>
  <c r="G14"/>
  <c r="H14"/>
  <c r="H9"/>
  <c r="G13"/>
  <c r="D35"/>
  <c r="D38" s="1"/>
  <c r="H11"/>
  <c r="G15"/>
  <c r="H7"/>
  <c r="B35"/>
  <c r="B38" s="1"/>
  <c r="G10"/>
  <c r="N35"/>
  <c r="N38" s="1"/>
  <c r="L35"/>
  <c r="L38" s="1"/>
  <c r="G12"/>
  <c r="G11"/>
  <c r="I35"/>
  <c r="I38" s="1"/>
  <c r="E35"/>
  <c r="E38" s="1"/>
  <c r="M35"/>
  <c r="M38" s="1"/>
  <c r="K35"/>
  <c r="K38" s="1"/>
  <c r="J35"/>
  <c r="J38" s="1"/>
  <c r="G35"/>
  <c r="G38" s="1"/>
  <c r="F35"/>
  <c r="F38" s="1"/>
  <c r="H35"/>
  <c r="H38" s="1"/>
  <c r="G6"/>
  <c r="G8"/>
  <c r="C35"/>
  <c r="C38" s="1"/>
  <c r="O36"/>
  <c r="O29"/>
  <c r="F7"/>
  <c r="O21"/>
  <c r="F8"/>
  <c r="O22"/>
  <c r="F9"/>
  <c r="O23"/>
  <c r="F10"/>
  <c r="O24"/>
  <c r="F11"/>
  <c r="O25"/>
  <c r="F12"/>
  <c r="O26"/>
  <c r="F13"/>
  <c r="O27"/>
  <c r="F14"/>
  <c r="O28"/>
  <c r="O20"/>
  <c r="F6"/>
  <c r="F15"/>
  <c r="G7"/>
  <c r="H8"/>
  <c r="G9"/>
  <c r="H6"/>
  <c r="I10" l="1"/>
  <c r="I13"/>
  <c r="I14"/>
  <c r="I15"/>
  <c r="I11"/>
  <c r="I8"/>
  <c r="I12"/>
  <c r="I6"/>
  <c r="O35"/>
  <c r="I9"/>
  <c r="I7"/>
</calcChain>
</file>

<file path=xl/comments1.xml><?xml version="1.0" encoding="utf-8"?>
<comments xmlns="http://schemas.openxmlformats.org/spreadsheetml/2006/main">
  <authors>
    <author>Vaishali</author>
  </authors>
  <commentList>
    <comment ref="E3" authorId="0">
      <text>
        <r>
          <rPr>
            <b/>
            <u/>
            <sz val="24"/>
            <color indexed="81"/>
            <rFont val="Tahoma"/>
            <family val="2"/>
          </rPr>
          <t>MANUAL</t>
        </r>
      </text>
    </comment>
    <comment ref="E6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7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8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9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0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1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3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4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5" authorId="0">
      <text>
        <r>
          <rPr>
            <b/>
            <u/>
            <sz val="24"/>
            <color indexed="81"/>
            <rFont val="Tahoma"/>
            <family val="2"/>
          </rPr>
          <t>MANUAL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<sst xmlns="http://schemas.openxmlformats.org/spreadsheetml/2006/main" count="61" uniqueCount="52">
  <si>
    <t>Cutting</t>
  </si>
  <si>
    <t>Tailoring</t>
  </si>
  <si>
    <t>Hand Work</t>
  </si>
  <si>
    <t>Item</t>
  </si>
  <si>
    <t>Kumar</t>
  </si>
  <si>
    <t>Selvaraj</t>
  </si>
  <si>
    <t>Rathinam</t>
  </si>
  <si>
    <t>Marshall</t>
  </si>
  <si>
    <t>Loganathan</t>
  </si>
  <si>
    <t>Kanagraj</t>
  </si>
  <si>
    <t>Sathish</t>
  </si>
  <si>
    <t>HW1</t>
  </si>
  <si>
    <t>HW 2</t>
  </si>
  <si>
    <t>HW 3</t>
  </si>
  <si>
    <t>Saturday</t>
  </si>
  <si>
    <t>Finishing</t>
  </si>
  <si>
    <t>Sunday</t>
  </si>
  <si>
    <t>Monday</t>
  </si>
  <si>
    <t>Wednesday</t>
  </si>
  <si>
    <t>Thursday</t>
  </si>
  <si>
    <t>Friday</t>
  </si>
  <si>
    <t>Advance paid</t>
  </si>
  <si>
    <t>Weekly Total by Process</t>
  </si>
  <si>
    <t>HW</t>
  </si>
  <si>
    <t>Date</t>
  </si>
  <si>
    <t>Amount</t>
  </si>
  <si>
    <t>Cut</t>
  </si>
  <si>
    <t>Tailored</t>
  </si>
  <si>
    <t>Weekly Totals by Person</t>
  </si>
  <si>
    <t>Tuesday</t>
  </si>
  <si>
    <t>Wage due this week</t>
  </si>
  <si>
    <t>Selvaraj-C</t>
  </si>
  <si>
    <t>Kumar-C</t>
  </si>
  <si>
    <t>Advances Taken</t>
  </si>
  <si>
    <t>Actual Paid</t>
  </si>
  <si>
    <t>Name</t>
  </si>
  <si>
    <t>Wages Summary</t>
  </si>
  <si>
    <t>Balance Carried Forward</t>
  </si>
  <si>
    <t>Pending to be processed</t>
  </si>
  <si>
    <t>Balance Brought Forward</t>
  </si>
  <si>
    <t>Old Cumulative balance</t>
  </si>
  <si>
    <t>INPUT OF THE WEEK</t>
  </si>
  <si>
    <t>[Tailor]</t>
  </si>
  <si>
    <t>F/S S/C</t>
  </si>
  <si>
    <t>S/C</t>
  </si>
  <si>
    <t>R. Bag</t>
  </si>
  <si>
    <t>R/C F/D</t>
  </si>
  <si>
    <t>Mat.Cover</t>
  </si>
  <si>
    <t>M.BIN</t>
  </si>
  <si>
    <t>R.Bag 24"</t>
  </si>
  <si>
    <t>Parcel</t>
  </si>
  <si>
    <t>Labour Rate Schedule</t>
  </si>
</sst>
</file>

<file path=xl/styles.xml><?xml version="1.0" encoding="utf-8"?>
<styleSheet xmlns="http://schemas.openxmlformats.org/spreadsheetml/2006/main">
  <numFmts count="7">
    <numFmt numFmtId="164" formatCode="d\-mmm\-yyyy"/>
    <numFmt numFmtId="165" formatCode="_-&quot;RS.&quot;* #,##0.00_-;\-&quot;RS.&quot;* #,##0.00_-;_-&quot;RS.&quot;* &quot;-&quot;??_-;_-@_-"/>
    <numFmt numFmtId="166" formatCode="[$-409]d\-mmm\-yy;@"/>
    <numFmt numFmtId="167" formatCode="[$Rs]\ #,##0.00_);\([$Rs]\ #,##0.00\)"/>
    <numFmt numFmtId="168" formatCode="&quot;TO    &quot;[$-409]d\-mmm\-yy;@"/>
    <numFmt numFmtId="169" formatCode="&quot;to &quot;d\-mmm\-yy"/>
    <numFmt numFmtId="170" formatCode="_(* #,##0_);_(* \(#,##0\);_(* &quot; &quot;_);_(@_)"/>
  </numFmts>
  <fonts count="24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sz val="18"/>
      <name val="Arial"/>
      <family val="2"/>
    </font>
    <font>
      <b/>
      <sz val="10"/>
      <color rgb="FF00B050"/>
      <name val="Arial"/>
      <family val="2"/>
    </font>
    <font>
      <sz val="10"/>
      <color theme="1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1"/>
      <name val="Calibri"/>
      <family val="2"/>
      <scheme val="minor"/>
    </font>
    <font>
      <b/>
      <sz val="9"/>
      <color theme="5" tint="-0.499984740745262"/>
      <name val="Arial"/>
      <family val="2"/>
    </font>
    <font>
      <b/>
      <u/>
      <sz val="10"/>
      <color rgb="FF0070C0"/>
      <name val="Arial"/>
      <family val="2"/>
    </font>
    <font>
      <b/>
      <sz val="10"/>
      <color theme="4" tint="-0.249977111117893"/>
      <name val="Arial"/>
      <family val="2"/>
    </font>
    <font>
      <b/>
      <sz val="16"/>
      <color theme="2" tint="-0.74999237037263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24"/>
      <color indexed="81"/>
      <name val="Tahoma"/>
      <family val="2"/>
    </font>
    <font>
      <sz val="8"/>
      <color indexed="81"/>
      <name val="Tahoma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2"/>
      <color theme="10"/>
      <name val="Calibri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7DCE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1" xfId="0" applyFont="1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centerContinuous"/>
    </xf>
    <xf numFmtId="0" fontId="1" fillId="0" borderId="5" xfId="0" applyFont="1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1" fillId="0" borderId="5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0" fillId="0" borderId="0" xfId="0" applyFill="1" applyBorder="1"/>
    <xf numFmtId="0" fontId="0" fillId="0" borderId="9" xfId="0" applyBorder="1"/>
    <xf numFmtId="0" fontId="0" fillId="0" borderId="7" xfId="0" applyFill="1" applyBorder="1"/>
    <xf numFmtId="0" fontId="1" fillId="0" borderId="10" xfId="0" applyFont="1" applyBorder="1"/>
    <xf numFmtId="0" fontId="0" fillId="0" borderId="11" xfId="0" applyBorder="1"/>
    <xf numFmtId="0" fontId="0" fillId="0" borderId="8" xfId="0" applyFill="1" applyBorder="1"/>
    <xf numFmtId="0" fontId="0" fillId="0" borderId="12" xfId="0" applyBorder="1"/>
    <xf numFmtId="0" fontId="0" fillId="0" borderId="6" xfId="0" applyFill="1" applyBorder="1"/>
    <xf numFmtId="165" fontId="0" fillId="0" borderId="0" xfId="0" applyNumberFormat="1"/>
    <xf numFmtId="167" fontId="0" fillId="0" borderId="5" xfId="0" applyNumberFormat="1" applyFont="1" applyBorder="1"/>
    <xf numFmtId="0" fontId="10" fillId="0" borderId="18" xfId="0" applyFont="1" applyBorder="1"/>
    <xf numFmtId="0" fontId="10" fillId="0" borderId="19" xfId="0" applyFont="1" applyBorder="1"/>
    <xf numFmtId="0" fontId="5" fillId="0" borderId="0" xfId="0" applyFont="1"/>
    <xf numFmtId="0" fontId="12" fillId="0" borderId="20" xfId="0" applyFont="1" applyFill="1" applyBorder="1"/>
    <xf numFmtId="164" fontId="6" fillId="2" borderId="23" xfId="0" applyNumberFormat="1" applyFont="1" applyFill="1" applyBorder="1"/>
    <xf numFmtId="164" fontId="6" fillId="2" borderId="23" xfId="0" applyNumberFormat="1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13" fillId="2" borderId="10" xfId="0" applyFont="1" applyFill="1" applyBorder="1"/>
    <xf numFmtId="0" fontId="13" fillId="2" borderId="1" xfId="0" applyFont="1" applyFill="1" applyBorder="1"/>
    <xf numFmtId="0" fontId="0" fillId="0" borderId="35" xfId="0" applyBorder="1"/>
    <xf numFmtId="167" fontId="0" fillId="0" borderId="34" xfId="0" applyNumberFormat="1" applyFont="1" applyBorder="1"/>
    <xf numFmtId="0" fontId="1" fillId="0" borderId="36" xfId="0" applyFont="1" applyBorder="1"/>
    <xf numFmtId="0" fontId="14" fillId="0" borderId="5" xfId="0" applyFont="1" applyBorder="1" applyAlignment="1">
      <alignment wrapText="1"/>
    </xf>
    <xf numFmtId="0" fontId="8" fillId="0" borderId="2" xfId="0" applyFont="1" applyFill="1" applyBorder="1"/>
    <xf numFmtId="166" fontId="11" fillId="0" borderId="2" xfId="0" applyNumberFormat="1" applyFont="1" applyFill="1" applyBorder="1"/>
    <xf numFmtId="166" fontId="11" fillId="0" borderId="2" xfId="0" applyNumberFormat="1" applyFont="1" applyFill="1" applyBorder="1" applyAlignment="1">
      <alignment horizontal="center"/>
    </xf>
    <xf numFmtId="0" fontId="8" fillId="0" borderId="37" xfId="0" applyFont="1" applyFill="1" applyBorder="1"/>
    <xf numFmtId="167" fontId="0" fillId="3" borderId="34" xfId="0" applyNumberFormat="1" applyFont="1" applyFill="1" applyBorder="1"/>
    <xf numFmtId="0" fontId="7" fillId="0" borderId="0" xfId="0" applyFont="1" applyAlignment="1"/>
    <xf numFmtId="0" fontId="15" fillId="0" borderId="0" xfId="0" applyFont="1" applyBorder="1" applyAlignment="1">
      <alignment horizontal="center"/>
    </xf>
    <xf numFmtId="166" fontId="15" fillId="0" borderId="0" xfId="0" applyNumberFormat="1" applyFont="1" applyBorder="1" applyAlignment="1">
      <alignment horizontal="center"/>
    </xf>
    <xf numFmtId="168" fontId="15" fillId="0" borderId="0" xfId="0" applyNumberFormat="1" applyFont="1" applyBorder="1" applyAlignment="1">
      <alignment horizontal="center"/>
    </xf>
    <xf numFmtId="0" fontId="14" fillId="3" borderId="5" xfId="0" applyFont="1" applyFill="1" applyBorder="1" applyAlignment="1">
      <alignment wrapText="1"/>
    </xf>
    <xf numFmtId="0" fontId="2" fillId="0" borderId="34" xfId="0" applyFont="1" applyBorder="1" applyAlignment="1">
      <alignment wrapText="1"/>
    </xf>
    <xf numFmtId="0" fontId="3" fillId="0" borderId="5" xfId="0" applyFont="1" applyBorder="1" applyAlignment="1">
      <alignment horizontal="right"/>
    </xf>
    <xf numFmtId="0" fontId="0" fillId="3" borderId="34" xfId="0" applyNumberFormat="1" applyFont="1" applyFill="1" applyBorder="1"/>
    <xf numFmtId="0" fontId="0" fillId="5" borderId="5" xfId="0" applyFill="1" applyBorder="1"/>
    <xf numFmtId="166" fontId="19" fillId="0" borderId="0" xfId="0" applyNumberFormat="1" applyFont="1" applyAlignment="1">
      <alignment vertical="center"/>
    </xf>
    <xf numFmtId="169" fontId="19" fillId="0" borderId="0" xfId="0" applyNumberFormat="1" applyFont="1" applyAlignment="1">
      <alignment vertical="center" wrapText="1"/>
    </xf>
    <xf numFmtId="166" fontId="19" fillId="2" borderId="0" xfId="0" applyNumberFormat="1" applyFont="1" applyFill="1" applyAlignment="1">
      <alignment horizontal="center"/>
    </xf>
    <xf numFmtId="169" fontId="19" fillId="2" borderId="0" xfId="0" applyNumberFormat="1" applyFont="1" applyFill="1" applyAlignment="1">
      <alignment horizontal="center" wrapText="1"/>
    </xf>
    <xf numFmtId="167" fontId="0" fillId="6" borderId="34" xfId="0" applyNumberFormat="1" applyFont="1" applyFill="1" applyBorder="1" applyProtection="1"/>
    <xf numFmtId="167" fontId="0" fillId="6" borderId="5" xfId="0" applyNumberFormat="1" applyFont="1" applyFill="1" applyBorder="1" applyProtection="1"/>
    <xf numFmtId="0" fontId="22" fillId="0" borderId="0" xfId="0" applyFont="1"/>
    <xf numFmtId="0" fontId="1" fillId="0" borderId="33" xfId="0" applyFont="1" applyFill="1" applyBorder="1" applyAlignment="1">
      <alignment horizontal="centerContinuous"/>
    </xf>
    <xf numFmtId="0" fontId="22" fillId="2" borderId="24" xfId="0" applyFont="1" applyFill="1" applyBorder="1"/>
    <xf numFmtId="0" fontId="22" fillId="2" borderId="23" xfId="0" applyFont="1" applyFill="1" applyBorder="1"/>
    <xf numFmtId="0" fontId="22" fillId="2" borderId="10" xfId="0" applyFont="1" applyFill="1" applyBorder="1"/>
    <xf numFmtId="0" fontId="22" fillId="2" borderId="0" xfId="0" applyFont="1" applyFill="1"/>
    <xf numFmtId="0" fontId="22" fillId="0" borderId="25" xfId="0" applyFont="1" applyFill="1" applyBorder="1" applyAlignment="1" applyProtection="1">
      <alignment horizontal="center"/>
    </xf>
    <xf numFmtId="170" fontId="22" fillId="0" borderId="0" xfId="0" applyNumberFormat="1" applyFont="1"/>
    <xf numFmtId="0" fontId="22" fillId="0" borderId="27" xfId="0" applyFont="1" applyFill="1" applyBorder="1" applyAlignment="1" applyProtection="1">
      <alignment horizontal="center"/>
    </xf>
    <xf numFmtId="0" fontId="22" fillId="0" borderId="4" xfId="0" applyFont="1" applyBorder="1"/>
    <xf numFmtId="0" fontId="22" fillId="2" borderId="23" xfId="0" applyFont="1" applyFill="1" applyBorder="1" applyProtection="1"/>
    <xf numFmtId="0" fontId="22" fillId="2" borderId="23" xfId="0" applyFont="1" applyFill="1" applyBorder="1" applyAlignment="1">
      <alignment horizontal="center"/>
    </xf>
    <xf numFmtId="0" fontId="22" fillId="2" borderId="23" xfId="0" applyFont="1" applyFill="1" applyBorder="1" applyAlignment="1" applyProtection="1">
      <alignment horizontal="center"/>
    </xf>
    <xf numFmtId="0" fontId="22" fillId="2" borderId="29" xfId="0" applyFont="1" applyFill="1" applyBorder="1" applyAlignment="1">
      <alignment horizontal="center"/>
    </xf>
    <xf numFmtId="0" fontId="22" fillId="2" borderId="30" xfId="0" applyFont="1" applyFill="1" applyBorder="1" applyAlignment="1">
      <alignment horizontal="center"/>
    </xf>
    <xf numFmtId="0" fontId="22" fillId="2" borderId="1" xfId="0" applyFont="1" applyFill="1" applyBorder="1"/>
    <xf numFmtId="0" fontId="22" fillId="2" borderId="24" xfId="0" applyFont="1" applyFill="1" applyBorder="1" applyAlignment="1">
      <alignment horizontal="center"/>
    </xf>
    <xf numFmtId="0" fontId="23" fillId="0" borderId="0" xfId="0" applyFont="1"/>
    <xf numFmtId="0" fontId="22" fillId="0" borderId="26" xfId="0" applyFont="1" applyFill="1" applyBorder="1" applyAlignment="1" applyProtection="1">
      <alignment horizontal="center"/>
    </xf>
    <xf numFmtId="0" fontId="22" fillId="0" borderId="13" xfId="0" applyFont="1" applyFill="1" applyBorder="1" applyAlignment="1" applyProtection="1">
      <alignment horizontal="center"/>
    </xf>
    <xf numFmtId="0" fontId="22" fillId="0" borderId="28" xfId="0" applyFont="1" applyFill="1" applyBorder="1" applyAlignment="1" applyProtection="1">
      <alignment horizontal="center"/>
    </xf>
    <xf numFmtId="0" fontId="22" fillId="0" borderId="14" xfId="0" applyFont="1" applyFill="1" applyBorder="1" applyAlignment="1" applyProtection="1">
      <alignment horizontal="center"/>
    </xf>
    <xf numFmtId="0" fontId="1" fillId="0" borderId="13" xfId="0" applyFont="1" applyFill="1" applyBorder="1" applyProtection="1"/>
    <xf numFmtId="170" fontId="22" fillId="0" borderId="0" xfId="0" applyNumberFormat="1" applyFont="1" applyFill="1"/>
    <xf numFmtId="0" fontId="1" fillId="0" borderId="14" xfId="0" applyFont="1" applyFill="1" applyBorder="1" applyProtection="1"/>
    <xf numFmtId="0" fontId="1" fillId="0" borderId="13" xfId="0" applyFont="1" applyFill="1" applyBorder="1"/>
    <xf numFmtId="0" fontId="1" fillId="0" borderId="2" xfId="0" applyFont="1" applyFill="1" applyBorder="1"/>
    <xf numFmtId="0" fontId="1" fillId="0" borderId="1" xfId="0" applyFont="1" applyFill="1" applyBorder="1"/>
    <xf numFmtId="0" fontId="1" fillId="0" borderId="31" xfId="0" applyFont="1" applyFill="1" applyBorder="1" applyAlignment="1">
      <alignment horizontal="centerContinuous"/>
    </xf>
    <xf numFmtId="0" fontId="1" fillId="0" borderId="32" xfId="0" applyFont="1" applyFill="1" applyBorder="1" applyAlignment="1">
      <alignment horizontal="centerContinuous"/>
    </xf>
    <xf numFmtId="0" fontId="1" fillId="0" borderId="34" xfId="0" applyFont="1" applyFill="1" applyBorder="1" applyAlignment="1">
      <alignment horizontal="centerContinuous"/>
    </xf>
    <xf numFmtId="0" fontId="1" fillId="0" borderId="0" xfId="0" applyFont="1" applyFill="1"/>
    <xf numFmtId="0" fontId="1" fillId="0" borderId="22" xfId="0" applyFont="1" applyFill="1" applyBorder="1"/>
    <xf numFmtId="0" fontId="12" fillId="0" borderId="21" xfId="0" applyFont="1" applyFill="1" applyBorder="1"/>
    <xf numFmtId="0" fontId="12" fillId="0" borderId="20" xfId="0" applyFont="1" applyFill="1" applyBorder="1" applyAlignment="1">
      <alignment horizontal="center"/>
    </xf>
    <xf numFmtId="0" fontId="12" fillId="0" borderId="22" xfId="0" applyFont="1" applyFill="1" applyBorder="1"/>
    <xf numFmtId="0" fontId="5" fillId="0" borderId="0" xfId="0" applyFont="1" applyFill="1"/>
    <xf numFmtId="0" fontId="22" fillId="0" borderId="0" xfId="0" applyFont="1" applyFill="1"/>
    <xf numFmtId="0" fontId="12" fillId="0" borderId="38" xfId="0" applyFont="1" applyFill="1" applyBorder="1"/>
    <xf numFmtId="0" fontId="8" fillId="0" borderId="5" xfId="0" applyFont="1" applyFill="1" applyBorder="1"/>
    <xf numFmtId="167" fontId="9" fillId="0" borderId="5" xfId="0" applyNumberFormat="1" applyFont="1" applyFill="1" applyBorder="1"/>
    <xf numFmtId="0" fontId="13" fillId="2" borderId="10" xfId="0" applyFont="1" applyFill="1" applyBorder="1" applyProtection="1"/>
    <xf numFmtId="164" fontId="6" fillId="2" borderId="23" xfId="0" applyNumberFormat="1" applyFont="1" applyFill="1" applyBorder="1" applyProtection="1"/>
    <xf numFmtId="0" fontId="22" fillId="2" borderId="24" xfId="0" applyFont="1" applyFill="1" applyBorder="1" applyProtection="1"/>
    <xf numFmtId="0" fontId="22" fillId="2" borderId="10" xfId="0" applyFont="1" applyFill="1" applyBorder="1" applyProtection="1"/>
    <xf numFmtId="170" fontId="22" fillId="0" borderId="0" xfId="0" applyNumberFormat="1" applyFont="1" applyProtection="1"/>
    <xf numFmtId="0" fontId="22" fillId="2" borderId="0" xfId="0" applyFont="1" applyFill="1" applyProtection="1"/>
    <xf numFmtId="0" fontId="5" fillId="0" borderId="15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/>
    </xf>
    <xf numFmtId="0" fontId="15" fillId="4" borderId="39" xfId="0" applyFont="1" applyFill="1" applyBorder="1" applyAlignment="1">
      <alignment horizontal="center"/>
    </xf>
    <xf numFmtId="166" fontId="15" fillId="4" borderId="39" xfId="0" applyNumberFormat="1" applyFont="1" applyFill="1" applyBorder="1" applyAlignment="1">
      <alignment horizontal="center"/>
    </xf>
    <xf numFmtId="168" fontId="15" fillId="4" borderId="39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167" fontId="16" fillId="3" borderId="1" xfId="0" applyNumberFormat="1" applyFont="1" applyFill="1" applyBorder="1" applyAlignment="1">
      <alignment horizontal="center" wrapText="1"/>
    </xf>
    <xf numFmtId="167" fontId="16" fillId="3" borderId="10" xfId="0" applyNumberFormat="1" applyFont="1" applyFill="1" applyBorder="1" applyAlignment="1">
      <alignment horizontal="center" wrapText="1"/>
    </xf>
    <xf numFmtId="167" fontId="16" fillId="3" borderId="2" xfId="0" applyNumberFormat="1" applyFont="1" applyFill="1" applyBorder="1" applyAlignment="1">
      <alignment horizontal="center" wrapText="1"/>
    </xf>
    <xf numFmtId="0" fontId="21" fillId="0" borderId="31" xfId="1" applyFont="1" applyBorder="1" applyAlignment="1" applyProtection="1">
      <alignment horizontal="center"/>
    </xf>
    <xf numFmtId="0" fontId="21" fillId="0" borderId="33" xfId="1" applyFont="1" applyBorder="1" applyAlignment="1" applyProtection="1">
      <alignment horizontal="center"/>
    </xf>
    <xf numFmtId="0" fontId="21" fillId="0" borderId="34" xfId="1" applyFont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Labour%20Wage%20Schedule.xlsx" TargetMode="Externa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87"/>
  <sheetViews>
    <sheetView view="pageBreakPreview" zoomScaleSheetLayoutView="100" workbookViewId="0">
      <pane ySplit="3" topLeftCell="A4" activePane="bottomLeft" state="frozen"/>
      <selection pane="bottomLeft" activeCell="F9" sqref="F9"/>
    </sheetView>
  </sheetViews>
  <sheetFormatPr defaultRowHeight="12.75"/>
  <cols>
    <col min="1" max="1" width="11.5703125" style="76" bestFit="1" customWidth="1"/>
    <col min="2" max="2" width="11.140625" style="59" bestFit="1" customWidth="1"/>
    <col min="3" max="3" width="10.42578125" style="59" customWidth="1"/>
    <col min="4" max="4" width="9.28515625" style="59" bestFit="1" customWidth="1"/>
    <col min="5" max="5" width="9.5703125" style="59" bestFit="1" customWidth="1"/>
    <col min="6" max="6" width="9.28515625" style="59" bestFit="1" customWidth="1"/>
    <col min="7" max="7" width="9.140625" style="59" bestFit="1" customWidth="1"/>
    <col min="8" max="8" width="11.7109375" style="59" customWidth="1"/>
    <col min="9" max="14" width="9.28515625" style="59" bestFit="1" customWidth="1"/>
    <col min="15" max="16" width="4.5703125" style="59" customWidth="1"/>
    <col min="17" max="16384" width="9.140625" style="59"/>
  </cols>
  <sheetData>
    <row r="1" spans="1:16" ht="21.75" thickBot="1">
      <c r="A1" s="109" t="s">
        <v>41</v>
      </c>
      <c r="B1" s="109"/>
      <c r="C1" s="109"/>
      <c r="D1" s="109"/>
      <c r="E1" s="110">
        <v>40173</v>
      </c>
      <c r="F1" s="110"/>
      <c r="G1" s="111">
        <f>E1+6-0-0</f>
        <v>40179</v>
      </c>
      <c r="H1" s="111"/>
    </row>
    <row r="2" spans="1:16" s="1" customFormat="1">
      <c r="A2" s="86"/>
      <c r="B2" s="87" t="s">
        <v>0</v>
      </c>
      <c r="C2" s="88"/>
      <c r="D2" s="87" t="s">
        <v>1</v>
      </c>
      <c r="E2" s="60"/>
      <c r="F2" s="60"/>
      <c r="G2" s="60"/>
      <c r="H2" s="60"/>
      <c r="I2" s="60"/>
      <c r="J2" s="60"/>
      <c r="K2" s="88"/>
      <c r="L2" s="87" t="s">
        <v>2</v>
      </c>
      <c r="M2" s="60"/>
      <c r="N2" s="89"/>
      <c r="O2" s="90"/>
      <c r="P2" s="90"/>
    </row>
    <row r="3" spans="1:16" s="28" customFormat="1" ht="13.5" thickBot="1">
      <c r="A3" s="91" t="s">
        <v>3</v>
      </c>
      <c r="B3" s="29" t="s">
        <v>32</v>
      </c>
      <c r="C3" s="92" t="s">
        <v>31</v>
      </c>
      <c r="D3" s="93" t="s">
        <v>4</v>
      </c>
      <c r="E3" s="29" t="s">
        <v>5</v>
      </c>
      <c r="F3" s="29" t="s">
        <v>6</v>
      </c>
      <c r="G3" s="29" t="s">
        <v>9</v>
      </c>
      <c r="H3" s="29" t="s">
        <v>8</v>
      </c>
      <c r="I3" s="29" t="s">
        <v>7</v>
      </c>
      <c r="J3" s="92" t="s">
        <v>10</v>
      </c>
      <c r="K3" s="92" t="s">
        <v>42</v>
      </c>
      <c r="L3" s="29" t="s">
        <v>11</v>
      </c>
      <c r="M3" s="29" t="s">
        <v>12</v>
      </c>
      <c r="N3" s="94" t="s">
        <v>13</v>
      </c>
      <c r="O3" s="95"/>
      <c r="P3" s="95"/>
    </row>
    <row r="4" spans="1:16" s="64" customFormat="1">
      <c r="A4" s="33" t="s">
        <v>14</v>
      </c>
      <c r="B4" s="30">
        <f>E1</f>
        <v>40173</v>
      </c>
      <c r="C4" s="61"/>
      <c r="D4" s="62"/>
      <c r="E4" s="62"/>
      <c r="F4" s="62"/>
      <c r="G4" s="62"/>
      <c r="H4" s="62"/>
      <c r="I4" s="62"/>
      <c r="J4" s="62"/>
      <c r="K4" s="61"/>
      <c r="L4" s="62"/>
      <c r="M4" s="62"/>
      <c r="N4" s="63"/>
    </row>
    <row r="5" spans="1:16">
      <c r="A5" s="81" t="s">
        <v>43</v>
      </c>
      <c r="B5" s="65"/>
      <c r="C5" s="77"/>
      <c r="D5" s="65"/>
      <c r="E5" s="65"/>
      <c r="F5" s="65"/>
      <c r="G5" s="65"/>
      <c r="H5" s="65"/>
      <c r="I5" s="65"/>
      <c r="J5" s="65"/>
      <c r="K5" s="77"/>
      <c r="L5" s="65"/>
      <c r="M5" s="65"/>
      <c r="N5" s="78"/>
      <c r="O5" s="82">
        <f>SUM(B5:C5)</f>
        <v>0</v>
      </c>
      <c r="P5" s="82">
        <f>SUM(D5:N5)</f>
        <v>0</v>
      </c>
    </row>
    <row r="6" spans="1:16">
      <c r="A6" s="81" t="s">
        <v>44</v>
      </c>
      <c r="B6" s="65"/>
      <c r="C6" s="77"/>
      <c r="D6" s="65"/>
      <c r="E6" s="65"/>
      <c r="F6" s="65"/>
      <c r="G6" s="65"/>
      <c r="H6" s="65"/>
      <c r="I6" s="65"/>
      <c r="J6" s="65"/>
      <c r="K6" s="77"/>
      <c r="L6" s="65"/>
      <c r="M6" s="65"/>
      <c r="N6" s="78"/>
      <c r="O6" s="82">
        <f t="shared" ref="O6:O69" si="0">SUM(B6:C6)</f>
        <v>0</v>
      </c>
      <c r="P6" s="82">
        <f t="shared" ref="P6:P69" si="1">SUM(D6:N6)</f>
        <v>0</v>
      </c>
    </row>
    <row r="7" spans="1:16">
      <c r="A7" s="81" t="s">
        <v>45</v>
      </c>
      <c r="B7" s="65"/>
      <c r="C7" s="77"/>
      <c r="D7" s="65"/>
      <c r="E7" s="65"/>
      <c r="F7" s="65"/>
      <c r="G7" s="65"/>
      <c r="H7" s="65"/>
      <c r="I7" s="65"/>
      <c r="J7" s="65"/>
      <c r="K7" s="77"/>
      <c r="L7" s="65"/>
      <c r="M7" s="65"/>
      <c r="N7" s="78"/>
      <c r="O7" s="82">
        <f t="shared" si="0"/>
        <v>0</v>
      </c>
      <c r="P7" s="82">
        <f t="shared" si="1"/>
        <v>0</v>
      </c>
    </row>
    <row r="8" spans="1:16">
      <c r="A8" s="81" t="s">
        <v>46</v>
      </c>
      <c r="B8" s="65"/>
      <c r="C8" s="77"/>
      <c r="D8" s="65"/>
      <c r="E8" s="65"/>
      <c r="F8" s="65"/>
      <c r="G8" s="65"/>
      <c r="H8" s="65"/>
      <c r="I8" s="65"/>
      <c r="J8" s="65"/>
      <c r="K8" s="77"/>
      <c r="L8" s="65"/>
      <c r="M8" s="65"/>
      <c r="N8" s="78"/>
      <c r="O8" s="82">
        <f t="shared" si="0"/>
        <v>0</v>
      </c>
      <c r="P8" s="82">
        <f t="shared" si="1"/>
        <v>0</v>
      </c>
    </row>
    <row r="9" spans="1:16">
      <c r="A9" s="81" t="s">
        <v>47</v>
      </c>
      <c r="B9" s="65"/>
      <c r="C9" s="77"/>
      <c r="D9" s="65"/>
      <c r="E9" s="65"/>
      <c r="F9" s="65">
        <v>23</v>
      </c>
      <c r="G9" s="65"/>
      <c r="H9" s="65"/>
      <c r="I9" s="65"/>
      <c r="J9" s="65"/>
      <c r="K9" s="77"/>
      <c r="L9" s="65"/>
      <c r="M9" s="65"/>
      <c r="N9" s="78"/>
      <c r="O9" s="82">
        <f t="shared" si="0"/>
        <v>0</v>
      </c>
      <c r="P9" s="82">
        <f t="shared" si="1"/>
        <v>23</v>
      </c>
    </row>
    <row r="10" spans="1:16">
      <c r="A10" s="81" t="s">
        <v>43</v>
      </c>
      <c r="B10" s="65"/>
      <c r="C10" s="77"/>
      <c r="D10" s="65"/>
      <c r="E10" s="65"/>
      <c r="F10" s="65"/>
      <c r="G10" s="65"/>
      <c r="H10" s="65"/>
      <c r="I10" s="65"/>
      <c r="J10" s="65"/>
      <c r="K10" s="77"/>
      <c r="L10" s="65"/>
      <c r="M10" s="65"/>
      <c r="N10" s="78"/>
      <c r="O10" s="82">
        <f t="shared" si="0"/>
        <v>0</v>
      </c>
      <c r="P10" s="82">
        <f t="shared" si="1"/>
        <v>0</v>
      </c>
    </row>
    <row r="11" spans="1:16">
      <c r="A11" s="81" t="s">
        <v>48</v>
      </c>
      <c r="B11" s="65"/>
      <c r="C11" s="77"/>
      <c r="D11" s="65"/>
      <c r="E11" s="65"/>
      <c r="F11" s="65"/>
      <c r="G11" s="65"/>
      <c r="H11" s="65"/>
      <c r="I11" s="65"/>
      <c r="J11" s="65"/>
      <c r="K11" s="77"/>
      <c r="L11" s="65"/>
      <c r="M11" s="65"/>
      <c r="N11" s="78"/>
      <c r="O11" s="82">
        <f t="shared" si="0"/>
        <v>0</v>
      </c>
      <c r="P11" s="82">
        <f t="shared" si="1"/>
        <v>0</v>
      </c>
    </row>
    <row r="12" spans="1:16">
      <c r="A12" s="81" t="s">
        <v>49</v>
      </c>
      <c r="B12" s="65"/>
      <c r="C12" s="77"/>
      <c r="D12" s="65"/>
      <c r="E12" s="65"/>
      <c r="F12" s="65"/>
      <c r="G12" s="65"/>
      <c r="H12" s="65"/>
      <c r="I12" s="65"/>
      <c r="J12" s="65"/>
      <c r="K12" s="77"/>
      <c r="L12" s="65"/>
      <c r="M12" s="65"/>
      <c r="N12" s="78"/>
      <c r="O12" s="82">
        <f t="shared" si="0"/>
        <v>0</v>
      </c>
      <c r="P12" s="82">
        <f t="shared" si="1"/>
        <v>0</v>
      </c>
    </row>
    <row r="13" spans="1:16">
      <c r="A13" s="81" t="s">
        <v>50</v>
      </c>
      <c r="B13" s="65"/>
      <c r="C13" s="77"/>
      <c r="D13" s="65"/>
      <c r="E13" s="65"/>
      <c r="F13" s="65"/>
      <c r="G13" s="65"/>
      <c r="H13" s="65"/>
      <c r="I13" s="65"/>
      <c r="J13" s="65"/>
      <c r="K13" s="77"/>
      <c r="L13" s="65"/>
      <c r="M13" s="65"/>
      <c r="N13" s="78"/>
      <c r="O13" s="82">
        <f t="shared" si="0"/>
        <v>0</v>
      </c>
      <c r="P13" s="82">
        <f t="shared" si="1"/>
        <v>0</v>
      </c>
    </row>
    <row r="14" spans="1:16" s="68" customFormat="1" ht="13.5" thickBot="1">
      <c r="A14" s="83" t="s">
        <v>15</v>
      </c>
      <c r="B14" s="67"/>
      <c r="C14" s="79"/>
      <c r="D14" s="67"/>
      <c r="E14" s="67"/>
      <c r="F14" s="67"/>
      <c r="G14" s="67"/>
      <c r="H14" s="67"/>
      <c r="I14" s="67"/>
      <c r="J14" s="67"/>
      <c r="K14" s="79"/>
      <c r="L14" s="67"/>
      <c r="M14" s="67"/>
      <c r="N14" s="80"/>
      <c r="O14" s="82">
        <f t="shared" si="0"/>
        <v>0</v>
      </c>
      <c r="P14" s="82">
        <f t="shared" si="1"/>
        <v>0</v>
      </c>
    </row>
    <row r="15" spans="1:16" s="105" customFormat="1">
      <c r="A15" s="100" t="s">
        <v>16</v>
      </c>
      <c r="B15" s="101">
        <f>B4+1</f>
        <v>40174</v>
      </c>
      <c r="C15" s="102"/>
      <c r="D15" s="69"/>
      <c r="E15" s="69"/>
      <c r="F15" s="69"/>
      <c r="G15" s="69"/>
      <c r="H15" s="69"/>
      <c r="I15" s="71"/>
      <c r="J15" s="71"/>
      <c r="K15" s="71"/>
      <c r="L15" s="69"/>
      <c r="M15" s="69"/>
      <c r="N15" s="103"/>
      <c r="O15" s="104"/>
      <c r="P15" s="104">
        <f t="shared" si="1"/>
        <v>0</v>
      </c>
    </row>
    <row r="16" spans="1:16">
      <c r="A16" s="84" t="str">
        <f t="shared" ref="A16:A25" si="2">A5</f>
        <v>F/S S/C</v>
      </c>
      <c r="B16" s="65"/>
      <c r="C16" s="77"/>
      <c r="D16" s="65"/>
      <c r="E16" s="65"/>
      <c r="F16" s="65"/>
      <c r="G16" s="65"/>
      <c r="H16" s="65"/>
      <c r="I16" s="65"/>
      <c r="J16" s="65"/>
      <c r="K16" s="77"/>
      <c r="L16" s="65"/>
      <c r="M16" s="65"/>
      <c r="N16" s="78"/>
      <c r="O16" s="82">
        <f t="shared" si="0"/>
        <v>0</v>
      </c>
      <c r="P16" s="82">
        <f t="shared" si="1"/>
        <v>0</v>
      </c>
    </row>
    <row r="17" spans="1:16">
      <c r="A17" s="84" t="str">
        <f t="shared" si="2"/>
        <v>S/C</v>
      </c>
      <c r="B17" s="65"/>
      <c r="C17" s="77"/>
      <c r="D17" s="65"/>
      <c r="E17" s="65"/>
      <c r="F17" s="65"/>
      <c r="G17" s="65"/>
      <c r="H17" s="65"/>
      <c r="I17" s="65"/>
      <c r="J17" s="65"/>
      <c r="K17" s="77"/>
      <c r="L17" s="65"/>
      <c r="M17" s="65"/>
      <c r="N17" s="78"/>
      <c r="O17" s="82">
        <f t="shared" si="0"/>
        <v>0</v>
      </c>
      <c r="P17" s="82">
        <f t="shared" si="1"/>
        <v>0</v>
      </c>
    </row>
    <row r="18" spans="1:16">
      <c r="A18" s="84" t="str">
        <f t="shared" si="2"/>
        <v>R. Bag</v>
      </c>
      <c r="B18" s="65"/>
      <c r="C18" s="77"/>
      <c r="D18" s="65"/>
      <c r="E18" s="65"/>
      <c r="F18" s="65"/>
      <c r="G18" s="65"/>
      <c r="H18" s="65"/>
      <c r="I18" s="65"/>
      <c r="J18" s="65"/>
      <c r="K18" s="77"/>
      <c r="L18" s="65"/>
      <c r="M18" s="65"/>
      <c r="N18" s="78"/>
      <c r="O18" s="82">
        <f t="shared" si="0"/>
        <v>0</v>
      </c>
      <c r="P18" s="82">
        <f t="shared" si="1"/>
        <v>0</v>
      </c>
    </row>
    <row r="19" spans="1:16">
      <c r="A19" s="84" t="str">
        <f t="shared" si="2"/>
        <v>R/C F/D</v>
      </c>
      <c r="B19" s="65"/>
      <c r="C19" s="77"/>
      <c r="D19" s="65"/>
      <c r="E19" s="65"/>
      <c r="F19" s="65"/>
      <c r="G19" s="65"/>
      <c r="H19" s="65"/>
      <c r="I19" s="65"/>
      <c r="J19" s="65"/>
      <c r="K19" s="77"/>
      <c r="L19" s="65"/>
      <c r="M19" s="65"/>
      <c r="N19" s="78"/>
      <c r="O19" s="82">
        <f t="shared" si="0"/>
        <v>0</v>
      </c>
      <c r="P19" s="82">
        <f t="shared" si="1"/>
        <v>0</v>
      </c>
    </row>
    <row r="20" spans="1:16">
      <c r="A20" s="84" t="str">
        <f t="shared" si="2"/>
        <v>Mat.Cover</v>
      </c>
      <c r="B20" s="65"/>
      <c r="C20" s="77"/>
      <c r="D20" s="65"/>
      <c r="E20" s="65"/>
      <c r="F20" s="65"/>
      <c r="G20" s="65"/>
      <c r="H20" s="65"/>
      <c r="I20" s="65"/>
      <c r="J20" s="65"/>
      <c r="K20" s="77"/>
      <c r="L20" s="65"/>
      <c r="M20" s="65"/>
      <c r="N20" s="78"/>
      <c r="O20" s="82">
        <f t="shared" si="0"/>
        <v>0</v>
      </c>
      <c r="P20" s="82">
        <f t="shared" si="1"/>
        <v>0</v>
      </c>
    </row>
    <row r="21" spans="1:16">
      <c r="A21" s="84" t="str">
        <f t="shared" si="2"/>
        <v>F/S S/C</v>
      </c>
      <c r="B21" s="65"/>
      <c r="C21" s="77"/>
      <c r="D21" s="65"/>
      <c r="E21" s="65"/>
      <c r="F21" s="65"/>
      <c r="G21" s="65"/>
      <c r="H21" s="65"/>
      <c r="I21" s="65"/>
      <c r="J21" s="65"/>
      <c r="K21" s="77"/>
      <c r="L21" s="65"/>
      <c r="M21" s="65"/>
      <c r="N21" s="78"/>
      <c r="O21" s="82">
        <f t="shared" si="0"/>
        <v>0</v>
      </c>
      <c r="P21" s="82">
        <f t="shared" si="1"/>
        <v>0</v>
      </c>
    </row>
    <row r="22" spans="1:16">
      <c r="A22" s="84" t="str">
        <f t="shared" si="2"/>
        <v>M.BIN</v>
      </c>
      <c r="B22" s="65"/>
      <c r="C22" s="77"/>
      <c r="D22" s="65"/>
      <c r="E22" s="65"/>
      <c r="F22" s="65"/>
      <c r="G22" s="65"/>
      <c r="H22" s="65"/>
      <c r="I22" s="65"/>
      <c r="J22" s="65"/>
      <c r="K22" s="77"/>
      <c r="L22" s="65"/>
      <c r="M22" s="65"/>
      <c r="N22" s="78"/>
      <c r="O22" s="82">
        <f t="shared" si="0"/>
        <v>0</v>
      </c>
      <c r="P22" s="82">
        <f t="shared" si="1"/>
        <v>0</v>
      </c>
    </row>
    <row r="23" spans="1:16">
      <c r="A23" s="84" t="str">
        <f t="shared" si="2"/>
        <v>R.Bag 24"</v>
      </c>
      <c r="B23" s="65"/>
      <c r="C23" s="77"/>
      <c r="D23" s="65"/>
      <c r="E23" s="65"/>
      <c r="F23" s="65"/>
      <c r="G23" s="65"/>
      <c r="H23" s="65"/>
      <c r="I23" s="65"/>
      <c r="J23" s="65"/>
      <c r="K23" s="77"/>
      <c r="L23" s="65"/>
      <c r="M23" s="65"/>
      <c r="N23" s="78"/>
      <c r="O23" s="82">
        <f t="shared" si="0"/>
        <v>0</v>
      </c>
      <c r="P23" s="82">
        <f t="shared" si="1"/>
        <v>0</v>
      </c>
    </row>
    <row r="24" spans="1:16">
      <c r="A24" s="84" t="str">
        <f t="shared" si="2"/>
        <v>Parcel</v>
      </c>
      <c r="B24" s="65"/>
      <c r="C24" s="77"/>
      <c r="D24" s="65"/>
      <c r="E24" s="65"/>
      <c r="F24" s="65"/>
      <c r="G24" s="65"/>
      <c r="H24" s="65"/>
      <c r="I24" s="65"/>
      <c r="J24" s="65"/>
      <c r="K24" s="77"/>
      <c r="L24" s="65"/>
      <c r="M24" s="65"/>
      <c r="N24" s="78"/>
      <c r="O24" s="82">
        <f t="shared" si="0"/>
        <v>0</v>
      </c>
      <c r="P24" s="82">
        <f t="shared" si="1"/>
        <v>0</v>
      </c>
    </row>
    <row r="25" spans="1:16" s="68" customFormat="1" ht="13.5" thickBot="1">
      <c r="A25" s="85" t="str">
        <f t="shared" si="2"/>
        <v>Finishing</v>
      </c>
      <c r="B25" s="67"/>
      <c r="C25" s="79"/>
      <c r="D25" s="67"/>
      <c r="E25" s="67"/>
      <c r="F25" s="67"/>
      <c r="G25" s="67"/>
      <c r="H25" s="67"/>
      <c r="I25" s="67"/>
      <c r="J25" s="67"/>
      <c r="K25" s="79"/>
      <c r="L25" s="67"/>
      <c r="M25" s="67"/>
      <c r="N25" s="80"/>
      <c r="O25" s="82">
        <f t="shared" si="0"/>
        <v>0</v>
      </c>
      <c r="P25" s="82">
        <f t="shared" si="1"/>
        <v>0</v>
      </c>
    </row>
    <row r="26" spans="1:16" s="64" customFormat="1">
      <c r="A26" s="33" t="s">
        <v>17</v>
      </c>
      <c r="B26" s="30">
        <f>B4+2</f>
        <v>40175</v>
      </c>
      <c r="C26" s="61"/>
      <c r="D26" s="62"/>
      <c r="E26" s="62"/>
      <c r="F26" s="62"/>
      <c r="G26" s="62"/>
      <c r="H26" s="69"/>
      <c r="I26" s="70"/>
      <c r="J26" s="71"/>
      <c r="K26" s="71"/>
      <c r="L26" s="62"/>
      <c r="M26" s="62"/>
      <c r="N26" s="63"/>
      <c r="O26" s="66"/>
      <c r="P26" s="66">
        <f t="shared" si="1"/>
        <v>0</v>
      </c>
    </row>
    <row r="27" spans="1:16">
      <c r="A27" s="84" t="str">
        <f t="shared" ref="A27:A36" si="3">A5</f>
        <v>F/S S/C</v>
      </c>
      <c r="B27" s="65"/>
      <c r="C27" s="77"/>
      <c r="D27" s="65"/>
      <c r="E27" s="65"/>
      <c r="F27" s="65"/>
      <c r="G27" s="65"/>
      <c r="H27" s="65"/>
      <c r="I27" s="65"/>
      <c r="J27" s="65"/>
      <c r="K27" s="77"/>
      <c r="L27" s="65"/>
      <c r="M27" s="65"/>
      <c r="N27" s="78"/>
      <c r="O27" s="82">
        <f t="shared" si="0"/>
        <v>0</v>
      </c>
      <c r="P27" s="82">
        <f t="shared" si="1"/>
        <v>0</v>
      </c>
    </row>
    <row r="28" spans="1:16">
      <c r="A28" s="84" t="str">
        <f t="shared" si="3"/>
        <v>S/C</v>
      </c>
      <c r="B28" s="65"/>
      <c r="C28" s="77"/>
      <c r="D28" s="65"/>
      <c r="E28" s="65"/>
      <c r="F28" s="65"/>
      <c r="G28" s="65"/>
      <c r="H28" s="65"/>
      <c r="I28" s="65"/>
      <c r="J28" s="65"/>
      <c r="K28" s="77"/>
      <c r="L28" s="65"/>
      <c r="M28" s="65"/>
      <c r="N28" s="78"/>
      <c r="O28" s="82">
        <f t="shared" si="0"/>
        <v>0</v>
      </c>
      <c r="P28" s="82">
        <f t="shared" si="1"/>
        <v>0</v>
      </c>
    </row>
    <row r="29" spans="1:16">
      <c r="A29" s="84" t="str">
        <f t="shared" si="3"/>
        <v>R. Bag</v>
      </c>
      <c r="B29" s="65"/>
      <c r="C29" s="77"/>
      <c r="D29" s="65"/>
      <c r="E29" s="65"/>
      <c r="F29" s="65"/>
      <c r="G29" s="65"/>
      <c r="H29" s="65"/>
      <c r="I29" s="65"/>
      <c r="J29" s="65"/>
      <c r="K29" s="77"/>
      <c r="L29" s="65"/>
      <c r="M29" s="65"/>
      <c r="N29" s="78"/>
      <c r="O29" s="82">
        <f t="shared" si="0"/>
        <v>0</v>
      </c>
      <c r="P29" s="82">
        <f t="shared" si="1"/>
        <v>0</v>
      </c>
    </row>
    <row r="30" spans="1:16">
      <c r="A30" s="84" t="str">
        <f t="shared" si="3"/>
        <v>R/C F/D</v>
      </c>
      <c r="B30" s="65"/>
      <c r="C30" s="77"/>
      <c r="D30" s="65"/>
      <c r="E30" s="65"/>
      <c r="F30" s="65"/>
      <c r="G30" s="65"/>
      <c r="H30" s="65"/>
      <c r="I30" s="65"/>
      <c r="J30" s="65"/>
      <c r="K30" s="77"/>
      <c r="L30" s="65"/>
      <c r="M30" s="65"/>
      <c r="N30" s="78"/>
      <c r="O30" s="82">
        <f t="shared" si="0"/>
        <v>0</v>
      </c>
      <c r="P30" s="82">
        <f t="shared" si="1"/>
        <v>0</v>
      </c>
    </row>
    <row r="31" spans="1:16">
      <c r="A31" s="84" t="str">
        <f t="shared" si="3"/>
        <v>Mat.Cover</v>
      </c>
      <c r="B31" s="65"/>
      <c r="C31" s="77"/>
      <c r="D31" s="65"/>
      <c r="E31" s="65"/>
      <c r="F31" s="65"/>
      <c r="G31" s="65"/>
      <c r="H31" s="65"/>
      <c r="I31" s="65"/>
      <c r="J31" s="65"/>
      <c r="K31" s="77"/>
      <c r="L31" s="65"/>
      <c r="M31" s="65"/>
      <c r="N31" s="78"/>
      <c r="O31" s="82">
        <f t="shared" si="0"/>
        <v>0</v>
      </c>
      <c r="P31" s="82">
        <f t="shared" si="1"/>
        <v>0</v>
      </c>
    </row>
    <row r="32" spans="1:16">
      <c r="A32" s="84" t="str">
        <f t="shared" si="3"/>
        <v>F/S S/C</v>
      </c>
      <c r="B32" s="65"/>
      <c r="C32" s="77"/>
      <c r="D32" s="65"/>
      <c r="E32" s="65"/>
      <c r="F32" s="65"/>
      <c r="G32" s="65"/>
      <c r="H32" s="65"/>
      <c r="I32" s="65"/>
      <c r="J32" s="65"/>
      <c r="K32" s="77"/>
      <c r="L32" s="65"/>
      <c r="M32" s="65"/>
      <c r="N32" s="78"/>
      <c r="O32" s="82">
        <f t="shared" si="0"/>
        <v>0</v>
      </c>
      <c r="P32" s="82">
        <f t="shared" si="1"/>
        <v>0</v>
      </c>
    </row>
    <row r="33" spans="1:16">
      <c r="A33" s="84" t="str">
        <f t="shared" si="3"/>
        <v>M.BIN</v>
      </c>
      <c r="B33" s="65"/>
      <c r="C33" s="77"/>
      <c r="D33" s="65"/>
      <c r="E33" s="65"/>
      <c r="F33" s="65"/>
      <c r="G33" s="65"/>
      <c r="H33" s="65"/>
      <c r="I33" s="65"/>
      <c r="J33" s="65"/>
      <c r="K33" s="77"/>
      <c r="L33" s="65"/>
      <c r="M33" s="65"/>
      <c r="N33" s="78"/>
      <c r="O33" s="82">
        <f t="shared" si="0"/>
        <v>0</v>
      </c>
      <c r="P33" s="82">
        <f t="shared" si="1"/>
        <v>0</v>
      </c>
    </row>
    <row r="34" spans="1:16">
      <c r="A34" s="84" t="str">
        <f t="shared" si="3"/>
        <v>R.Bag 24"</v>
      </c>
      <c r="B34" s="65"/>
      <c r="C34" s="77"/>
      <c r="D34" s="65"/>
      <c r="E34" s="65"/>
      <c r="F34" s="65"/>
      <c r="G34" s="65"/>
      <c r="H34" s="65"/>
      <c r="I34" s="65"/>
      <c r="J34" s="65"/>
      <c r="K34" s="77"/>
      <c r="L34" s="65"/>
      <c r="M34" s="65"/>
      <c r="N34" s="78"/>
      <c r="O34" s="82">
        <f t="shared" si="0"/>
        <v>0</v>
      </c>
      <c r="P34" s="82">
        <f t="shared" si="1"/>
        <v>0</v>
      </c>
    </row>
    <row r="35" spans="1:16">
      <c r="A35" s="84" t="str">
        <f t="shared" si="3"/>
        <v>Parcel</v>
      </c>
      <c r="B35" s="65"/>
      <c r="C35" s="77"/>
      <c r="D35" s="65"/>
      <c r="E35" s="65"/>
      <c r="F35" s="65"/>
      <c r="G35" s="65"/>
      <c r="H35" s="65"/>
      <c r="I35" s="65"/>
      <c r="J35" s="65"/>
      <c r="K35" s="77"/>
      <c r="L35" s="65"/>
      <c r="M35" s="65"/>
      <c r="N35" s="78"/>
      <c r="O35" s="82">
        <f t="shared" si="0"/>
        <v>0</v>
      </c>
      <c r="P35" s="82">
        <f t="shared" si="1"/>
        <v>0</v>
      </c>
    </row>
    <row r="36" spans="1:16" s="68" customFormat="1" ht="13.5" thickBot="1">
      <c r="A36" s="85" t="str">
        <f t="shared" si="3"/>
        <v>Finishing</v>
      </c>
      <c r="B36" s="67"/>
      <c r="C36" s="79"/>
      <c r="D36" s="67"/>
      <c r="E36" s="67"/>
      <c r="F36" s="67"/>
      <c r="G36" s="67"/>
      <c r="H36" s="67"/>
      <c r="I36" s="67"/>
      <c r="J36" s="67"/>
      <c r="K36" s="79"/>
      <c r="L36" s="67"/>
      <c r="M36" s="67"/>
      <c r="N36" s="80"/>
      <c r="O36" s="82">
        <f t="shared" si="0"/>
        <v>0</v>
      </c>
      <c r="P36" s="82">
        <f t="shared" si="1"/>
        <v>0</v>
      </c>
    </row>
    <row r="37" spans="1:16" s="64" customFormat="1">
      <c r="A37" s="33" t="s">
        <v>29</v>
      </c>
      <c r="B37" s="30">
        <f>B4+3</f>
        <v>40176</v>
      </c>
      <c r="C37" s="61"/>
      <c r="D37" s="62"/>
      <c r="E37" s="62"/>
      <c r="F37" s="62"/>
      <c r="G37" s="62"/>
      <c r="H37" s="69"/>
      <c r="I37" s="62"/>
      <c r="J37" s="71"/>
      <c r="K37" s="71"/>
      <c r="L37" s="62"/>
      <c r="M37" s="62"/>
      <c r="N37" s="63"/>
      <c r="O37" s="66"/>
      <c r="P37" s="66">
        <f t="shared" si="1"/>
        <v>0</v>
      </c>
    </row>
    <row r="38" spans="1:16">
      <c r="A38" s="84" t="str">
        <f t="shared" ref="A38:A47" si="4">A5</f>
        <v>F/S S/C</v>
      </c>
      <c r="B38" s="65"/>
      <c r="C38" s="77"/>
      <c r="D38" s="65"/>
      <c r="E38" s="65"/>
      <c r="F38" s="65"/>
      <c r="G38" s="65"/>
      <c r="H38" s="65"/>
      <c r="I38" s="65"/>
      <c r="J38" s="65"/>
      <c r="K38" s="77"/>
      <c r="L38" s="65"/>
      <c r="M38" s="65"/>
      <c r="N38" s="78"/>
      <c r="O38" s="82">
        <f t="shared" si="0"/>
        <v>0</v>
      </c>
      <c r="P38" s="82">
        <f t="shared" si="1"/>
        <v>0</v>
      </c>
    </row>
    <row r="39" spans="1:16">
      <c r="A39" s="84" t="str">
        <f t="shared" si="4"/>
        <v>S/C</v>
      </c>
      <c r="B39" s="65"/>
      <c r="C39" s="77"/>
      <c r="D39" s="65"/>
      <c r="E39" s="65"/>
      <c r="F39" s="65"/>
      <c r="G39" s="65"/>
      <c r="H39" s="65"/>
      <c r="I39" s="65"/>
      <c r="J39" s="65"/>
      <c r="K39" s="77"/>
      <c r="L39" s="65"/>
      <c r="M39" s="65"/>
      <c r="N39" s="78"/>
      <c r="O39" s="82">
        <f t="shared" si="0"/>
        <v>0</v>
      </c>
      <c r="P39" s="82">
        <f t="shared" si="1"/>
        <v>0</v>
      </c>
    </row>
    <row r="40" spans="1:16">
      <c r="A40" s="84" t="str">
        <f t="shared" si="4"/>
        <v>R. Bag</v>
      </c>
      <c r="B40" s="65"/>
      <c r="C40" s="77"/>
      <c r="D40" s="65"/>
      <c r="E40" s="65"/>
      <c r="F40" s="65"/>
      <c r="G40" s="65"/>
      <c r="H40" s="65"/>
      <c r="I40" s="65"/>
      <c r="J40" s="65"/>
      <c r="K40" s="77"/>
      <c r="L40" s="65"/>
      <c r="M40" s="65"/>
      <c r="N40" s="78"/>
      <c r="O40" s="82">
        <f t="shared" si="0"/>
        <v>0</v>
      </c>
      <c r="P40" s="82">
        <f t="shared" si="1"/>
        <v>0</v>
      </c>
    </row>
    <row r="41" spans="1:16">
      <c r="A41" s="84" t="str">
        <f t="shared" si="4"/>
        <v>R/C F/D</v>
      </c>
      <c r="B41" s="65"/>
      <c r="C41" s="77"/>
      <c r="D41" s="65"/>
      <c r="E41" s="65"/>
      <c r="F41" s="65"/>
      <c r="G41" s="65"/>
      <c r="H41" s="65"/>
      <c r="I41" s="65"/>
      <c r="J41" s="65"/>
      <c r="K41" s="77"/>
      <c r="L41" s="65"/>
      <c r="M41" s="65"/>
      <c r="N41" s="78"/>
      <c r="O41" s="82">
        <f t="shared" si="0"/>
        <v>0</v>
      </c>
      <c r="P41" s="82">
        <f t="shared" si="1"/>
        <v>0</v>
      </c>
    </row>
    <row r="42" spans="1:16">
      <c r="A42" s="84" t="str">
        <f t="shared" si="4"/>
        <v>Mat.Cover</v>
      </c>
      <c r="B42" s="65"/>
      <c r="C42" s="77"/>
      <c r="D42" s="65"/>
      <c r="E42" s="65"/>
      <c r="F42" s="65"/>
      <c r="G42" s="65"/>
      <c r="H42" s="65"/>
      <c r="I42" s="65"/>
      <c r="J42" s="65"/>
      <c r="K42" s="77"/>
      <c r="L42" s="65"/>
      <c r="M42" s="65"/>
      <c r="N42" s="78"/>
      <c r="O42" s="82">
        <f t="shared" si="0"/>
        <v>0</v>
      </c>
      <c r="P42" s="82">
        <f t="shared" si="1"/>
        <v>0</v>
      </c>
    </row>
    <row r="43" spans="1:16">
      <c r="A43" s="84" t="str">
        <f t="shared" si="4"/>
        <v>F/S S/C</v>
      </c>
      <c r="B43" s="65"/>
      <c r="C43" s="77"/>
      <c r="D43" s="65"/>
      <c r="E43" s="65"/>
      <c r="F43" s="65"/>
      <c r="G43" s="65"/>
      <c r="H43" s="65"/>
      <c r="I43" s="65"/>
      <c r="J43" s="65"/>
      <c r="K43" s="77"/>
      <c r="L43" s="65"/>
      <c r="M43" s="65"/>
      <c r="N43" s="78"/>
      <c r="O43" s="82">
        <f t="shared" si="0"/>
        <v>0</v>
      </c>
      <c r="P43" s="82">
        <f t="shared" si="1"/>
        <v>0</v>
      </c>
    </row>
    <row r="44" spans="1:16">
      <c r="A44" s="84" t="str">
        <f t="shared" si="4"/>
        <v>M.BIN</v>
      </c>
      <c r="B44" s="65"/>
      <c r="C44" s="77"/>
      <c r="D44" s="65"/>
      <c r="E44" s="65"/>
      <c r="F44" s="65"/>
      <c r="G44" s="65"/>
      <c r="H44" s="65"/>
      <c r="I44" s="65"/>
      <c r="J44" s="65"/>
      <c r="K44" s="77"/>
      <c r="L44" s="65"/>
      <c r="M44" s="65"/>
      <c r="N44" s="78"/>
      <c r="O44" s="82">
        <f t="shared" si="0"/>
        <v>0</v>
      </c>
      <c r="P44" s="82">
        <f t="shared" si="1"/>
        <v>0</v>
      </c>
    </row>
    <row r="45" spans="1:16">
      <c r="A45" s="84" t="str">
        <f t="shared" si="4"/>
        <v>R.Bag 24"</v>
      </c>
      <c r="B45" s="65"/>
      <c r="C45" s="77"/>
      <c r="D45" s="65"/>
      <c r="E45" s="65"/>
      <c r="F45" s="65"/>
      <c r="G45" s="65"/>
      <c r="H45" s="65"/>
      <c r="I45" s="65"/>
      <c r="J45" s="65"/>
      <c r="K45" s="77"/>
      <c r="L45" s="65"/>
      <c r="M45" s="65"/>
      <c r="N45" s="78"/>
      <c r="O45" s="82">
        <f t="shared" si="0"/>
        <v>0</v>
      </c>
      <c r="P45" s="82">
        <f t="shared" si="1"/>
        <v>0</v>
      </c>
    </row>
    <row r="46" spans="1:16">
      <c r="A46" s="84" t="str">
        <f t="shared" si="4"/>
        <v>Parcel</v>
      </c>
      <c r="B46" s="65"/>
      <c r="C46" s="77"/>
      <c r="D46" s="65"/>
      <c r="E46" s="65"/>
      <c r="F46" s="65"/>
      <c r="G46" s="65"/>
      <c r="H46" s="65"/>
      <c r="I46" s="65"/>
      <c r="J46" s="65"/>
      <c r="K46" s="77"/>
      <c r="L46" s="65"/>
      <c r="M46" s="65"/>
      <c r="N46" s="78"/>
      <c r="O46" s="82">
        <f t="shared" si="0"/>
        <v>0</v>
      </c>
      <c r="P46" s="82">
        <f t="shared" si="1"/>
        <v>0</v>
      </c>
    </row>
    <row r="47" spans="1:16" s="68" customFormat="1" ht="13.5" thickBot="1">
      <c r="A47" s="85" t="str">
        <f t="shared" si="4"/>
        <v>Finishing</v>
      </c>
      <c r="B47" s="67"/>
      <c r="C47" s="79"/>
      <c r="D47" s="67"/>
      <c r="E47" s="67"/>
      <c r="F47" s="67"/>
      <c r="G47" s="67"/>
      <c r="H47" s="67"/>
      <c r="I47" s="67"/>
      <c r="J47" s="67"/>
      <c r="K47" s="79"/>
      <c r="L47" s="67"/>
      <c r="M47" s="67"/>
      <c r="N47" s="80"/>
      <c r="O47" s="82">
        <f t="shared" si="0"/>
        <v>0</v>
      </c>
      <c r="P47" s="82">
        <f t="shared" si="1"/>
        <v>0</v>
      </c>
    </row>
    <row r="48" spans="1:16" s="1" customFormat="1">
      <c r="A48" s="86"/>
      <c r="B48" s="87" t="s">
        <v>0</v>
      </c>
      <c r="C48" s="88"/>
      <c r="D48" s="87" t="s">
        <v>1</v>
      </c>
      <c r="E48" s="60"/>
      <c r="F48" s="60"/>
      <c r="G48" s="60"/>
      <c r="H48" s="60"/>
      <c r="I48" s="60"/>
      <c r="J48" s="60"/>
      <c r="K48" s="88"/>
      <c r="L48" s="87" t="s">
        <v>2</v>
      </c>
      <c r="M48" s="60"/>
      <c r="N48" s="89"/>
      <c r="O48" s="82">
        <f t="shared" si="0"/>
        <v>0</v>
      </c>
      <c r="P48" s="82">
        <f t="shared" si="1"/>
        <v>0</v>
      </c>
    </row>
    <row r="49" spans="1:16" s="28" customFormat="1" ht="13.5" thickBot="1">
      <c r="A49" s="91" t="s">
        <v>3</v>
      </c>
      <c r="B49" s="29" t="str">
        <f>B3</f>
        <v>Kumar-C</v>
      </c>
      <c r="C49" s="29" t="str">
        <f t="shared" ref="C49:M49" si="5">C3</f>
        <v>Selvaraj-C</v>
      </c>
      <c r="D49" s="29" t="str">
        <f t="shared" si="5"/>
        <v>Kumar</v>
      </c>
      <c r="E49" s="29" t="str">
        <f t="shared" si="5"/>
        <v>Selvaraj</v>
      </c>
      <c r="F49" s="29" t="str">
        <f t="shared" si="5"/>
        <v>Rathinam</v>
      </c>
      <c r="G49" s="29" t="str">
        <f t="shared" si="5"/>
        <v>Kanagraj</v>
      </c>
      <c r="H49" s="29" t="str">
        <f t="shared" si="5"/>
        <v>Loganathan</v>
      </c>
      <c r="I49" s="29" t="str">
        <f t="shared" si="5"/>
        <v>Marshall</v>
      </c>
      <c r="J49" s="29" t="str">
        <f t="shared" si="5"/>
        <v>Sathish</v>
      </c>
      <c r="K49" s="29" t="str">
        <f t="shared" si="5"/>
        <v>[Tailor]</v>
      </c>
      <c r="L49" s="29" t="str">
        <f t="shared" si="5"/>
        <v>HW1</v>
      </c>
      <c r="M49" s="29" t="str">
        <f t="shared" si="5"/>
        <v>HW 2</v>
      </c>
      <c r="N49" s="29" t="str">
        <f>N3</f>
        <v>HW 3</v>
      </c>
      <c r="O49" s="82">
        <f t="shared" si="0"/>
        <v>0</v>
      </c>
      <c r="P49" s="82">
        <f t="shared" si="1"/>
        <v>0</v>
      </c>
    </row>
    <row r="50" spans="1:16" s="64" customFormat="1">
      <c r="A50" s="33" t="s">
        <v>18</v>
      </c>
      <c r="B50" s="30">
        <f>B4+4</f>
        <v>40177</v>
      </c>
      <c r="C50" s="61"/>
      <c r="D50" s="62"/>
      <c r="E50" s="62"/>
      <c r="F50" s="62"/>
      <c r="G50" s="62"/>
      <c r="H50" s="62"/>
      <c r="I50" s="62"/>
      <c r="J50" s="62"/>
      <c r="K50" s="61"/>
      <c r="L50" s="62"/>
      <c r="M50" s="62"/>
      <c r="N50" s="63"/>
      <c r="O50" s="66"/>
      <c r="P50" s="66">
        <f t="shared" si="1"/>
        <v>0</v>
      </c>
    </row>
    <row r="51" spans="1:16">
      <c r="A51" s="84" t="str">
        <f t="shared" ref="A51:A60" si="6">A5</f>
        <v>F/S S/C</v>
      </c>
      <c r="B51" s="65"/>
      <c r="C51" s="77"/>
      <c r="D51" s="65"/>
      <c r="E51" s="65"/>
      <c r="F51" s="65"/>
      <c r="G51" s="65"/>
      <c r="H51" s="65"/>
      <c r="I51" s="65"/>
      <c r="J51" s="65"/>
      <c r="K51" s="77"/>
      <c r="L51" s="65"/>
      <c r="M51" s="65"/>
      <c r="N51" s="78"/>
      <c r="O51" s="82">
        <f t="shared" si="0"/>
        <v>0</v>
      </c>
      <c r="P51" s="82">
        <f t="shared" si="1"/>
        <v>0</v>
      </c>
    </row>
    <row r="52" spans="1:16">
      <c r="A52" s="84" t="str">
        <f t="shared" si="6"/>
        <v>S/C</v>
      </c>
      <c r="B52" s="65"/>
      <c r="C52" s="77"/>
      <c r="D52" s="65"/>
      <c r="E52" s="65"/>
      <c r="F52" s="65"/>
      <c r="G52" s="65"/>
      <c r="H52" s="65"/>
      <c r="I52" s="65"/>
      <c r="J52" s="65"/>
      <c r="K52" s="77"/>
      <c r="L52" s="65"/>
      <c r="M52" s="65"/>
      <c r="N52" s="78"/>
      <c r="O52" s="82">
        <f t="shared" si="0"/>
        <v>0</v>
      </c>
      <c r="P52" s="82">
        <f t="shared" si="1"/>
        <v>0</v>
      </c>
    </row>
    <row r="53" spans="1:16">
      <c r="A53" s="84" t="str">
        <f t="shared" si="6"/>
        <v>R. Bag</v>
      </c>
      <c r="B53" s="65"/>
      <c r="C53" s="77"/>
      <c r="D53" s="65"/>
      <c r="E53" s="65"/>
      <c r="F53" s="65"/>
      <c r="G53" s="65"/>
      <c r="H53" s="65"/>
      <c r="I53" s="65"/>
      <c r="J53" s="65"/>
      <c r="K53" s="77"/>
      <c r="L53" s="65"/>
      <c r="M53" s="65"/>
      <c r="N53" s="78"/>
      <c r="O53" s="82">
        <f t="shared" si="0"/>
        <v>0</v>
      </c>
      <c r="P53" s="82">
        <f t="shared" si="1"/>
        <v>0</v>
      </c>
    </row>
    <row r="54" spans="1:16">
      <c r="A54" s="84" t="str">
        <f t="shared" si="6"/>
        <v>R/C F/D</v>
      </c>
      <c r="B54" s="65"/>
      <c r="C54" s="77"/>
      <c r="D54" s="65"/>
      <c r="E54" s="65"/>
      <c r="F54" s="65"/>
      <c r="G54" s="65"/>
      <c r="H54" s="65"/>
      <c r="I54" s="65"/>
      <c r="J54" s="65"/>
      <c r="K54" s="77"/>
      <c r="L54" s="65"/>
      <c r="M54" s="65"/>
      <c r="N54" s="78"/>
      <c r="O54" s="82">
        <f t="shared" si="0"/>
        <v>0</v>
      </c>
      <c r="P54" s="82">
        <f t="shared" si="1"/>
        <v>0</v>
      </c>
    </row>
    <row r="55" spans="1:16">
      <c r="A55" s="84" t="str">
        <f t="shared" si="6"/>
        <v>Mat.Cover</v>
      </c>
      <c r="B55" s="65"/>
      <c r="C55" s="77"/>
      <c r="D55" s="65"/>
      <c r="E55" s="65"/>
      <c r="F55" s="65"/>
      <c r="G55" s="65"/>
      <c r="H55" s="65"/>
      <c r="I55" s="65"/>
      <c r="J55" s="65"/>
      <c r="K55" s="77"/>
      <c r="L55" s="65"/>
      <c r="M55" s="65"/>
      <c r="N55" s="78"/>
      <c r="O55" s="82">
        <f t="shared" si="0"/>
        <v>0</v>
      </c>
      <c r="P55" s="82">
        <f t="shared" si="1"/>
        <v>0</v>
      </c>
    </row>
    <row r="56" spans="1:16">
      <c r="A56" s="84" t="str">
        <f t="shared" si="6"/>
        <v>F/S S/C</v>
      </c>
      <c r="B56" s="65"/>
      <c r="C56" s="77"/>
      <c r="D56" s="65"/>
      <c r="E56" s="65"/>
      <c r="F56" s="65"/>
      <c r="G56" s="65"/>
      <c r="H56" s="65"/>
      <c r="I56" s="65"/>
      <c r="J56" s="65"/>
      <c r="K56" s="77"/>
      <c r="L56" s="65"/>
      <c r="M56" s="65"/>
      <c r="N56" s="78"/>
      <c r="O56" s="82">
        <f t="shared" si="0"/>
        <v>0</v>
      </c>
      <c r="P56" s="82">
        <f t="shared" si="1"/>
        <v>0</v>
      </c>
    </row>
    <row r="57" spans="1:16">
      <c r="A57" s="84" t="str">
        <f t="shared" si="6"/>
        <v>M.BIN</v>
      </c>
      <c r="B57" s="65"/>
      <c r="C57" s="77"/>
      <c r="D57" s="65"/>
      <c r="E57" s="65"/>
      <c r="F57" s="65"/>
      <c r="G57" s="65"/>
      <c r="H57" s="65"/>
      <c r="I57" s="65"/>
      <c r="J57" s="65"/>
      <c r="K57" s="77"/>
      <c r="L57" s="65"/>
      <c r="M57" s="65"/>
      <c r="N57" s="78"/>
      <c r="O57" s="82">
        <f t="shared" si="0"/>
        <v>0</v>
      </c>
      <c r="P57" s="82">
        <f t="shared" si="1"/>
        <v>0</v>
      </c>
    </row>
    <row r="58" spans="1:16">
      <c r="A58" s="84" t="str">
        <f t="shared" si="6"/>
        <v>R.Bag 24"</v>
      </c>
      <c r="B58" s="65"/>
      <c r="C58" s="77"/>
      <c r="D58" s="65"/>
      <c r="E58" s="65"/>
      <c r="F58" s="65"/>
      <c r="G58" s="65"/>
      <c r="H58" s="65"/>
      <c r="I58" s="65"/>
      <c r="J58" s="65"/>
      <c r="K58" s="77"/>
      <c r="L58" s="65"/>
      <c r="M58" s="65"/>
      <c r="N58" s="78"/>
      <c r="O58" s="82">
        <f t="shared" si="0"/>
        <v>0</v>
      </c>
      <c r="P58" s="82">
        <f t="shared" si="1"/>
        <v>0</v>
      </c>
    </row>
    <row r="59" spans="1:16">
      <c r="A59" s="84" t="str">
        <f t="shared" si="6"/>
        <v>Parcel</v>
      </c>
      <c r="B59" s="65"/>
      <c r="C59" s="77"/>
      <c r="D59" s="65"/>
      <c r="E59" s="65"/>
      <c r="F59" s="65"/>
      <c r="G59" s="65"/>
      <c r="H59" s="65"/>
      <c r="I59" s="65"/>
      <c r="J59" s="65"/>
      <c r="K59" s="77"/>
      <c r="L59" s="65"/>
      <c r="M59" s="65"/>
      <c r="N59" s="78"/>
      <c r="O59" s="82">
        <f t="shared" si="0"/>
        <v>0</v>
      </c>
      <c r="P59" s="82">
        <f t="shared" si="1"/>
        <v>0</v>
      </c>
    </row>
    <row r="60" spans="1:16" s="68" customFormat="1" ht="13.5" thickBot="1">
      <c r="A60" s="85" t="str">
        <f t="shared" si="6"/>
        <v>Finishing</v>
      </c>
      <c r="B60" s="67"/>
      <c r="C60" s="79"/>
      <c r="D60" s="67"/>
      <c r="E60" s="67"/>
      <c r="F60" s="67"/>
      <c r="G60" s="67"/>
      <c r="H60" s="67"/>
      <c r="I60" s="67"/>
      <c r="J60" s="67"/>
      <c r="K60" s="79"/>
      <c r="L60" s="67"/>
      <c r="M60" s="67"/>
      <c r="N60" s="80"/>
      <c r="O60" s="82">
        <f t="shared" si="0"/>
        <v>0</v>
      </c>
      <c r="P60" s="82">
        <f t="shared" si="1"/>
        <v>0</v>
      </c>
    </row>
    <row r="61" spans="1:16" s="64" customFormat="1">
      <c r="A61" s="34" t="s">
        <v>19</v>
      </c>
      <c r="B61" s="31">
        <f>B4+5</f>
        <v>40178</v>
      </c>
      <c r="C61" s="72"/>
      <c r="D61" s="73"/>
      <c r="E61" s="73"/>
      <c r="F61" s="73"/>
      <c r="G61" s="73"/>
      <c r="H61" s="73"/>
      <c r="I61" s="73"/>
      <c r="J61" s="73"/>
      <c r="K61" s="72"/>
      <c r="L61" s="73"/>
      <c r="M61" s="73"/>
      <c r="N61" s="74"/>
      <c r="O61" s="66"/>
      <c r="P61" s="66">
        <f t="shared" si="1"/>
        <v>0</v>
      </c>
    </row>
    <row r="62" spans="1:16">
      <c r="A62" s="84" t="str">
        <f t="shared" ref="A62:A71" si="7">A5</f>
        <v>F/S S/C</v>
      </c>
      <c r="B62" s="65"/>
      <c r="C62" s="77"/>
      <c r="D62" s="65"/>
      <c r="E62" s="65"/>
      <c r="F62" s="65"/>
      <c r="G62" s="65"/>
      <c r="H62" s="65"/>
      <c r="I62" s="65"/>
      <c r="J62" s="65"/>
      <c r="K62" s="77"/>
      <c r="L62" s="65"/>
      <c r="M62" s="65"/>
      <c r="N62" s="78"/>
      <c r="O62" s="82">
        <f t="shared" si="0"/>
        <v>0</v>
      </c>
      <c r="P62" s="82">
        <f t="shared" si="1"/>
        <v>0</v>
      </c>
    </row>
    <row r="63" spans="1:16">
      <c r="A63" s="84" t="str">
        <f t="shared" si="7"/>
        <v>S/C</v>
      </c>
      <c r="B63" s="65"/>
      <c r="C63" s="77"/>
      <c r="D63" s="65"/>
      <c r="E63" s="65"/>
      <c r="F63" s="65"/>
      <c r="G63" s="65"/>
      <c r="H63" s="65"/>
      <c r="I63" s="65"/>
      <c r="J63" s="65"/>
      <c r="K63" s="77"/>
      <c r="L63" s="65"/>
      <c r="M63" s="65"/>
      <c r="N63" s="78"/>
      <c r="O63" s="82">
        <f t="shared" si="0"/>
        <v>0</v>
      </c>
      <c r="P63" s="82">
        <f t="shared" si="1"/>
        <v>0</v>
      </c>
    </row>
    <row r="64" spans="1:16">
      <c r="A64" s="84" t="str">
        <f t="shared" si="7"/>
        <v>R. Bag</v>
      </c>
      <c r="B64" s="65"/>
      <c r="C64" s="77"/>
      <c r="D64" s="65"/>
      <c r="E64" s="65"/>
      <c r="F64" s="65"/>
      <c r="G64" s="65"/>
      <c r="H64" s="65"/>
      <c r="I64" s="65"/>
      <c r="J64" s="65"/>
      <c r="K64" s="77"/>
      <c r="L64" s="65"/>
      <c r="M64" s="65"/>
      <c r="N64" s="78"/>
      <c r="O64" s="82">
        <f t="shared" si="0"/>
        <v>0</v>
      </c>
      <c r="P64" s="82">
        <f t="shared" si="1"/>
        <v>0</v>
      </c>
    </row>
    <row r="65" spans="1:16">
      <c r="A65" s="84" t="str">
        <f t="shared" si="7"/>
        <v>R/C F/D</v>
      </c>
      <c r="B65" s="65"/>
      <c r="C65" s="77"/>
      <c r="D65" s="65"/>
      <c r="E65" s="65"/>
      <c r="F65" s="65"/>
      <c r="G65" s="65"/>
      <c r="H65" s="65"/>
      <c r="I65" s="65"/>
      <c r="J65" s="65"/>
      <c r="K65" s="77"/>
      <c r="L65" s="65"/>
      <c r="M65" s="65"/>
      <c r="N65" s="78"/>
      <c r="O65" s="82">
        <f t="shared" si="0"/>
        <v>0</v>
      </c>
      <c r="P65" s="82">
        <f t="shared" si="1"/>
        <v>0</v>
      </c>
    </row>
    <row r="66" spans="1:16">
      <c r="A66" s="84" t="str">
        <f t="shared" si="7"/>
        <v>Mat.Cover</v>
      </c>
      <c r="B66" s="65"/>
      <c r="C66" s="77"/>
      <c r="D66" s="65"/>
      <c r="E66" s="65"/>
      <c r="F66" s="65"/>
      <c r="G66" s="65"/>
      <c r="H66" s="65"/>
      <c r="I66" s="65"/>
      <c r="J66" s="65"/>
      <c r="K66" s="77"/>
      <c r="L66" s="65"/>
      <c r="M66" s="65"/>
      <c r="N66" s="78"/>
      <c r="O66" s="82">
        <f t="shared" si="0"/>
        <v>0</v>
      </c>
      <c r="P66" s="82">
        <f t="shared" si="1"/>
        <v>0</v>
      </c>
    </row>
    <row r="67" spans="1:16">
      <c r="A67" s="84" t="str">
        <f t="shared" si="7"/>
        <v>F/S S/C</v>
      </c>
      <c r="B67" s="65"/>
      <c r="C67" s="77"/>
      <c r="D67" s="65"/>
      <c r="E67" s="65"/>
      <c r="F67" s="65"/>
      <c r="G67" s="65"/>
      <c r="H67" s="65"/>
      <c r="I67" s="65"/>
      <c r="J67" s="65"/>
      <c r="K67" s="77"/>
      <c r="L67" s="65"/>
      <c r="M67" s="65"/>
      <c r="N67" s="78"/>
      <c r="O67" s="82">
        <f t="shared" si="0"/>
        <v>0</v>
      </c>
      <c r="P67" s="82">
        <f t="shared" si="1"/>
        <v>0</v>
      </c>
    </row>
    <row r="68" spans="1:16">
      <c r="A68" s="84" t="str">
        <f t="shared" si="7"/>
        <v>M.BIN</v>
      </c>
      <c r="B68" s="65"/>
      <c r="C68" s="77"/>
      <c r="D68" s="65"/>
      <c r="E68" s="65"/>
      <c r="F68" s="65"/>
      <c r="G68" s="65"/>
      <c r="H68" s="65"/>
      <c r="I68" s="65"/>
      <c r="J68" s="65"/>
      <c r="K68" s="77"/>
      <c r="L68" s="65"/>
      <c r="M68" s="65"/>
      <c r="N68" s="78"/>
      <c r="O68" s="82">
        <f t="shared" si="0"/>
        <v>0</v>
      </c>
      <c r="P68" s="82">
        <f t="shared" si="1"/>
        <v>0</v>
      </c>
    </row>
    <row r="69" spans="1:16">
      <c r="A69" s="84" t="str">
        <f t="shared" si="7"/>
        <v>R.Bag 24"</v>
      </c>
      <c r="B69" s="65"/>
      <c r="C69" s="77"/>
      <c r="D69" s="65"/>
      <c r="E69" s="65"/>
      <c r="F69" s="65"/>
      <c r="G69" s="65"/>
      <c r="H69" s="65"/>
      <c r="I69" s="65"/>
      <c r="J69" s="65"/>
      <c r="K69" s="77"/>
      <c r="L69" s="65"/>
      <c r="M69" s="65"/>
      <c r="N69" s="78"/>
      <c r="O69" s="82">
        <f t="shared" si="0"/>
        <v>0</v>
      </c>
      <c r="P69" s="82">
        <f t="shared" si="1"/>
        <v>0</v>
      </c>
    </row>
    <row r="70" spans="1:16">
      <c r="A70" s="84" t="str">
        <f t="shared" si="7"/>
        <v>Parcel</v>
      </c>
      <c r="B70" s="65"/>
      <c r="C70" s="77"/>
      <c r="D70" s="65"/>
      <c r="E70" s="65"/>
      <c r="F70" s="65"/>
      <c r="G70" s="65"/>
      <c r="H70" s="65"/>
      <c r="I70" s="65"/>
      <c r="J70" s="65"/>
      <c r="K70" s="77"/>
      <c r="L70" s="65"/>
      <c r="M70" s="65"/>
      <c r="N70" s="78"/>
      <c r="O70" s="82">
        <f t="shared" ref="O70:O82" si="8">SUM(B70:C70)</f>
        <v>0</v>
      </c>
      <c r="P70" s="82">
        <f t="shared" ref="P70:P82" si="9">SUM(D70:N70)</f>
        <v>0</v>
      </c>
    </row>
    <row r="71" spans="1:16" s="68" customFormat="1" ht="13.5" thickBot="1">
      <c r="A71" s="85" t="str">
        <f t="shared" si="7"/>
        <v>Finishing</v>
      </c>
      <c r="B71" s="67"/>
      <c r="C71" s="79"/>
      <c r="D71" s="67"/>
      <c r="E71" s="67"/>
      <c r="F71" s="67"/>
      <c r="G71" s="67"/>
      <c r="H71" s="67"/>
      <c r="I71" s="67"/>
      <c r="J71" s="67"/>
      <c r="K71" s="79"/>
      <c r="L71" s="67"/>
      <c r="M71" s="67"/>
      <c r="N71" s="80"/>
      <c r="O71" s="82">
        <f t="shared" si="8"/>
        <v>0</v>
      </c>
      <c r="P71" s="82">
        <f t="shared" si="9"/>
        <v>0</v>
      </c>
    </row>
    <row r="72" spans="1:16" s="64" customFormat="1">
      <c r="A72" s="33" t="s">
        <v>20</v>
      </c>
      <c r="B72" s="31">
        <f>B4+6</f>
        <v>40179</v>
      </c>
      <c r="C72" s="32"/>
      <c r="D72" s="70"/>
      <c r="E72" s="70"/>
      <c r="F72" s="70"/>
      <c r="G72" s="70"/>
      <c r="H72" s="70"/>
      <c r="I72" s="70"/>
      <c r="J72" s="70"/>
      <c r="K72" s="75"/>
      <c r="L72" s="70"/>
      <c r="M72" s="70"/>
      <c r="N72" s="63"/>
      <c r="O72" s="66"/>
      <c r="P72" s="66">
        <f t="shared" si="9"/>
        <v>0</v>
      </c>
    </row>
    <row r="73" spans="1:16">
      <c r="A73" s="84" t="str">
        <f t="shared" ref="A73:A82" si="10">A5</f>
        <v>F/S S/C</v>
      </c>
      <c r="B73" s="65"/>
      <c r="C73" s="77"/>
      <c r="D73" s="65"/>
      <c r="E73" s="65"/>
      <c r="F73" s="65"/>
      <c r="G73" s="65"/>
      <c r="H73" s="65"/>
      <c r="I73" s="65"/>
      <c r="J73" s="65"/>
      <c r="K73" s="77"/>
      <c r="L73" s="65"/>
      <c r="M73" s="65"/>
      <c r="N73" s="78"/>
      <c r="O73" s="82">
        <f t="shared" si="8"/>
        <v>0</v>
      </c>
      <c r="P73" s="82">
        <f t="shared" si="9"/>
        <v>0</v>
      </c>
    </row>
    <row r="74" spans="1:16">
      <c r="A74" s="84" t="str">
        <f t="shared" si="10"/>
        <v>S/C</v>
      </c>
      <c r="B74" s="65"/>
      <c r="C74" s="77"/>
      <c r="D74" s="65"/>
      <c r="E74" s="65"/>
      <c r="F74" s="65"/>
      <c r="G74" s="65"/>
      <c r="H74" s="65"/>
      <c r="I74" s="65"/>
      <c r="J74" s="65"/>
      <c r="K74" s="77"/>
      <c r="L74" s="65"/>
      <c r="M74" s="65"/>
      <c r="N74" s="78"/>
      <c r="O74" s="82">
        <f t="shared" si="8"/>
        <v>0</v>
      </c>
      <c r="P74" s="82">
        <f t="shared" si="9"/>
        <v>0</v>
      </c>
    </row>
    <row r="75" spans="1:16">
      <c r="A75" s="84" t="str">
        <f t="shared" si="10"/>
        <v>R. Bag</v>
      </c>
      <c r="B75" s="65"/>
      <c r="C75" s="77"/>
      <c r="D75" s="65"/>
      <c r="E75" s="65"/>
      <c r="F75" s="65"/>
      <c r="G75" s="65"/>
      <c r="H75" s="65"/>
      <c r="I75" s="65"/>
      <c r="J75" s="65"/>
      <c r="K75" s="77"/>
      <c r="L75" s="65"/>
      <c r="M75" s="65"/>
      <c r="N75" s="78"/>
      <c r="O75" s="82">
        <f t="shared" si="8"/>
        <v>0</v>
      </c>
      <c r="P75" s="82">
        <f t="shared" si="9"/>
        <v>0</v>
      </c>
    </row>
    <row r="76" spans="1:16">
      <c r="A76" s="84" t="str">
        <f t="shared" si="10"/>
        <v>R/C F/D</v>
      </c>
      <c r="B76" s="65"/>
      <c r="C76" s="77"/>
      <c r="D76" s="65"/>
      <c r="E76" s="65"/>
      <c r="F76" s="65"/>
      <c r="G76" s="65"/>
      <c r="H76" s="65"/>
      <c r="I76" s="65"/>
      <c r="J76" s="65"/>
      <c r="K76" s="77"/>
      <c r="L76" s="65"/>
      <c r="M76" s="65"/>
      <c r="N76" s="78"/>
      <c r="O76" s="82">
        <f t="shared" si="8"/>
        <v>0</v>
      </c>
      <c r="P76" s="82">
        <f t="shared" si="9"/>
        <v>0</v>
      </c>
    </row>
    <row r="77" spans="1:16">
      <c r="A77" s="84" t="str">
        <f t="shared" si="10"/>
        <v>Mat.Cover</v>
      </c>
      <c r="B77" s="65"/>
      <c r="C77" s="77"/>
      <c r="D77" s="65"/>
      <c r="E77" s="65"/>
      <c r="F77" s="65"/>
      <c r="G77" s="65"/>
      <c r="H77" s="65"/>
      <c r="I77" s="65"/>
      <c r="J77" s="65"/>
      <c r="K77" s="77"/>
      <c r="L77" s="65"/>
      <c r="M77" s="65"/>
      <c r="N77" s="78"/>
      <c r="O77" s="82">
        <f t="shared" si="8"/>
        <v>0</v>
      </c>
      <c r="P77" s="82">
        <f t="shared" si="9"/>
        <v>0</v>
      </c>
    </row>
    <row r="78" spans="1:16">
      <c r="A78" s="84" t="str">
        <f t="shared" si="10"/>
        <v>F/S S/C</v>
      </c>
      <c r="B78" s="65"/>
      <c r="C78" s="77"/>
      <c r="D78" s="65"/>
      <c r="E78" s="65"/>
      <c r="F78" s="65"/>
      <c r="G78" s="65"/>
      <c r="H78" s="65"/>
      <c r="I78" s="65"/>
      <c r="J78" s="65"/>
      <c r="K78" s="77"/>
      <c r="L78" s="65"/>
      <c r="M78" s="65"/>
      <c r="N78" s="78"/>
      <c r="O78" s="82">
        <f t="shared" si="8"/>
        <v>0</v>
      </c>
      <c r="P78" s="82">
        <f t="shared" si="9"/>
        <v>0</v>
      </c>
    </row>
    <row r="79" spans="1:16">
      <c r="A79" s="84" t="str">
        <f t="shared" si="10"/>
        <v>M.BIN</v>
      </c>
      <c r="B79" s="65"/>
      <c r="C79" s="77"/>
      <c r="D79" s="65"/>
      <c r="E79" s="65"/>
      <c r="F79" s="65"/>
      <c r="G79" s="65"/>
      <c r="H79" s="65"/>
      <c r="I79" s="65"/>
      <c r="J79" s="65"/>
      <c r="K79" s="77"/>
      <c r="L79" s="65"/>
      <c r="M79" s="65"/>
      <c r="N79" s="78"/>
      <c r="O79" s="82">
        <f t="shared" si="8"/>
        <v>0</v>
      </c>
      <c r="P79" s="82">
        <f t="shared" si="9"/>
        <v>0</v>
      </c>
    </row>
    <row r="80" spans="1:16">
      <c r="A80" s="84" t="str">
        <f>A12</f>
        <v>R.Bag 24"</v>
      </c>
      <c r="B80" s="65"/>
      <c r="C80" s="77"/>
      <c r="D80" s="65"/>
      <c r="E80" s="65"/>
      <c r="F80" s="65"/>
      <c r="G80" s="65"/>
      <c r="H80" s="65"/>
      <c r="I80" s="65"/>
      <c r="J80" s="65"/>
      <c r="K80" s="77"/>
      <c r="L80" s="65"/>
      <c r="M80" s="65"/>
      <c r="N80" s="78"/>
      <c r="O80" s="82">
        <f t="shared" si="8"/>
        <v>0</v>
      </c>
      <c r="P80" s="82">
        <f t="shared" si="9"/>
        <v>0</v>
      </c>
    </row>
    <row r="81" spans="1:16">
      <c r="A81" s="84" t="str">
        <f t="shared" si="10"/>
        <v>Parcel</v>
      </c>
      <c r="B81" s="65"/>
      <c r="C81" s="77"/>
      <c r="D81" s="65"/>
      <c r="E81" s="65"/>
      <c r="F81" s="65"/>
      <c r="G81" s="65"/>
      <c r="H81" s="65"/>
      <c r="I81" s="65"/>
      <c r="J81" s="65"/>
      <c r="K81" s="77"/>
      <c r="L81" s="65"/>
      <c r="M81" s="65"/>
      <c r="N81" s="78"/>
      <c r="O81" s="82">
        <f t="shared" si="8"/>
        <v>0</v>
      </c>
      <c r="P81" s="82">
        <f t="shared" si="9"/>
        <v>0</v>
      </c>
    </row>
    <row r="82" spans="1:16" s="68" customFormat="1" ht="13.5" thickBot="1">
      <c r="A82" s="85" t="str">
        <f t="shared" si="10"/>
        <v>Finishing</v>
      </c>
      <c r="B82" s="67"/>
      <c r="C82" s="79"/>
      <c r="D82" s="67"/>
      <c r="E82" s="67"/>
      <c r="F82" s="67"/>
      <c r="G82" s="67"/>
      <c r="H82" s="67"/>
      <c r="I82" s="67"/>
      <c r="J82" s="67"/>
      <c r="K82" s="79"/>
      <c r="L82" s="67"/>
      <c r="M82" s="67"/>
      <c r="N82" s="80"/>
      <c r="O82" s="82">
        <f t="shared" si="8"/>
        <v>0</v>
      </c>
      <c r="P82" s="82">
        <f t="shared" si="9"/>
        <v>0</v>
      </c>
    </row>
    <row r="83" spans="1:16" ht="13.5" thickBot="1"/>
    <row r="84" spans="1:16" thickBot="1">
      <c r="A84" s="106" t="s">
        <v>21</v>
      </c>
      <c r="B84" s="107"/>
      <c r="C84" s="108"/>
      <c r="D84" s="96"/>
      <c r="E84" s="96"/>
      <c r="F84" s="96"/>
      <c r="G84" s="96"/>
      <c r="H84" s="96"/>
      <c r="I84" s="96"/>
      <c r="J84" s="96"/>
      <c r="K84" s="96"/>
      <c r="L84" s="96"/>
      <c r="M84" s="96"/>
      <c r="N84" s="96"/>
      <c r="O84" s="96"/>
      <c r="P84" s="96"/>
    </row>
    <row r="85" spans="1:16" s="28" customFormat="1" ht="13.5" thickBot="1">
      <c r="A85" s="42" t="s">
        <v>35</v>
      </c>
      <c r="B85" s="97" t="str">
        <f>B3</f>
        <v>Kumar-C</v>
      </c>
      <c r="C85" s="97" t="str">
        <f t="shared" ref="C85:N85" si="11">C3</f>
        <v>Selvaraj-C</v>
      </c>
      <c r="D85" s="97" t="str">
        <f t="shared" si="11"/>
        <v>Kumar</v>
      </c>
      <c r="E85" s="97" t="str">
        <f t="shared" si="11"/>
        <v>Selvaraj</v>
      </c>
      <c r="F85" s="97" t="str">
        <f t="shared" si="11"/>
        <v>Rathinam</v>
      </c>
      <c r="G85" s="97" t="str">
        <f t="shared" si="11"/>
        <v>Kanagraj</v>
      </c>
      <c r="H85" s="97" t="str">
        <f t="shared" si="11"/>
        <v>Loganathan</v>
      </c>
      <c r="I85" s="97" t="str">
        <f t="shared" si="11"/>
        <v>Marshall</v>
      </c>
      <c r="J85" s="97" t="str">
        <f t="shared" si="11"/>
        <v>Sathish</v>
      </c>
      <c r="K85" s="97" t="str">
        <f t="shared" si="11"/>
        <v>[Tailor]</v>
      </c>
      <c r="L85" s="97" t="str">
        <f t="shared" si="11"/>
        <v>HW1</v>
      </c>
      <c r="M85" s="97" t="str">
        <f t="shared" si="11"/>
        <v>HW 2</v>
      </c>
      <c r="N85" s="97" t="str">
        <f t="shared" si="11"/>
        <v>HW 3</v>
      </c>
      <c r="O85" s="95"/>
      <c r="P85" s="95"/>
    </row>
    <row r="86" spans="1:16">
      <c r="A86" s="39" t="s">
        <v>24</v>
      </c>
      <c r="B86" s="40"/>
      <c r="C86" s="41"/>
      <c r="D86" s="40"/>
      <c r="E86" s="41"/>
      <c r="F86" s="41"/>
      <c r="G86" s="40"/>
      <c r="H86" s="41"/>
      <c r="I86" s="41"/>
      <c r="J86" s="40"/>
      <c r="K86" s="40"/>
      <c r="L86" s="40"/>
      <c r="M86" s="40"/>
      <c r="N86" s="40"/>
      <c r="O86" s="96"/>
      <c r="P86" s="96"/>
    </row>
    <row r="87" spans="1:16">
      <c r="A87" s="98" t="s">
        <v>25</v>
      </c>
      <c r="B87" s="99">
        <v>0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96"/>
      <c r="P87" s="96"/>
    </row>
  </sheetData>
  <sheetProtection sheet="1" objects="1" scenarios="1" formatCells="0" formatColumns="0" formatRows="0"/>
  <protectedRanges>
    <protectedRange sqref="B86:N87" name="Advances"/>
    <protectedRange sqref="B50:N82" name="Workspace Page 2"/>
    <protectedRange sqref="B5:N47" name="Workspace Page 1"/>
    <protectedRange sqref="A5:A14" name="Products made"/>
    <protectedRange sqref="B3:N3" name="Tailors"/>
  </protectedRanges>
  <customSheetViews>
    <customSheetView guid="{6A84FC39-7CCC-4F40-857F-05D51DF9D1C8}" scale="105" topLeftCell="A43">
      <selection activeCell="C54" sqref="C54"/>
      <rowBreaks count="1" manualBreakCount="1">
        <brk id="47" max="13" man="1"/>
      </rowBreaks>
      <colBreaks count="1" manualBreakCount="1">
        <brk id="14" max="1048575" man="1"/>
      </colBreaks>
      <pageMargins left="0.7" right="0.7" top="0.75" bottom="0.75" header="0.3" footer="0.3"/>
      <pageSetup scale="84" orientation="landscape" verticalDpi="0" r:id="rId1"/>
    </customSheetView>
  </customSheetViews>
  <mergeCells count="4">
    <mergeCell ref="A84:C84"/>
    <mergeCell ref="A1:D1"/>
    <mergeCell ref="E1:F1"/>
    <mergeCell ref="G1:H1"/>
  </mergeCells>
  <pageMargins left="0.7" right="0.7" top="0.75" bottom="0.75" header="0.3" footer="0.3"/>
  <pageSetup scale="84" orientation="landscape" r:id="rId2"/>
  <rowBreaks count="1" manualBreakCount="1">
    <brk id="47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39"/>
  <sheetViews>
    <sheetView tabSelected="1" view="pageBreakPreview" zoomScaleSheetLayoutView="100" workbookViewId="0">
      <selection activeCell="I15" sqref="I15"/>
    </sheetView>
  </sheetViews>
  <sheetFormatPr defaultRowHeight="15"/>
  <cols>
    <col min="1" max="1" width="13.5703125" style="1" bestFit="1" customWidth="1"/>
    <col min="2" max="5" width="11.5703125" customWidth="1"/>
    <col min="6" max="6" width="14.5703125" bestFit="1" customWidth="1"/>
    <col min="7" max="7" width="11.5703125" style="2" bestFit="1" customWidth="1"/>
    <col min="8" max="8" width="11.85546875" bestFit="1" customWidth="1"/>
    <col min="9" max="9" width="11.140625" customWidth="1"/>
    <col min="10" max="10" width="9.42578125" customWidth="1"/>
    <col min="11" max="11" width="10.5703125" bestFit="1" customWidth="1"/>
    <col min="12" max="12" width="12.85546875" bestFit="1" customWidth="1"/>
    <col min="13" max="14" width="9.5703125" customWidth="1"/>
    <col min="15" max="15" width="13.5703125" bestFit="1" customWidth="1"/>
  </cols>
  <sheetData>
    <row r="1" spans="1:16" ht="5.25" customHeight="1">
      <c r="A1" s="45"/>
      <c r="B1" s="45"/>
      <c r="C1" s="45"/>
      <c r="D1" s="45"/>
      <c r="E1" s="46"/>
      <c r="F1" s="46"/>
      <c r="G1" s="47"/>
      <c r="H1" s="47"/>
      <c r="I1" s="44"/>
      <c r="J1" s="44"/>
      <c r="K1" s="44"/>
      <c r="L1" s="44"/>
      <c r="M1" s="44"/>
    </row>
    <row r="2" spans="1:16" ht="5.25" customHeight="1">
      <c r="A2" s="45"/>
      <c r="B2" s="45"/>
      <c r="C2" s="45"/>
      <c r="D2" s="45"/>
      <c r="E2" s="46"/>
      <c r="F2" s="46"/>
      <c r="G2" s="47"/>
      <c r="H2" s="47"/>
      <c r="I2" s="44"/>
      <c r="J2" s="44"/>
      <c r="K2" s="44"/>
      <c r="L2" s="44"/>
      <c r="M2" s="44"/>
    </row>
    <row r="3" spans="1:16" ht="15" customHeight="1">
      <c r="A3" s="122" t="s">
        <v>51</v>
      </c>
      <c r="B3" s="123"/>
      <c r="C3" s="123"/>
      <c r="D3" s="124"/>
      <c r="E3" s="119" t="s">
        <v>40</v>
      </c>
      <c r="F3" s="114" t="s">
        <v>22</v>
      </c>
      <c r="G3" s="115"/>
      <c r="H3" s="115"/>
      <c r="I3" s="49"/>
      <c r="K3" s="55">
        <f>'Data Input Sheet'!B4</f>
        <v>40173</v>
      </c>
      <c r="L3" s="56">
        <f>'Data Input Sheet'!B72</f>
        <v>40179</v>
      </c>
      <c r="O3" s="7"/>
    </row>
    <row r="4" spans="1:16" ht="15" customHeight="1">
      <c r="A4" s="8"/>
      <c r="B4" s="9"/>
      <c r="C4" s="9"/>
      <c r="D4" s="9"/>
      <c r="E4" s="120"/>
      <c r="F4" s="5"/>
      <c r="G4" s="6"/>
      <c r="H4" s="112" t="s">
        <v>38</v>
      </c>
      <c r="I4" s="113"/>
      <c r="K4" s="53"/>
      <c r="L4" s="54"/>
      <c r="O4" s="11"/>
    </row>
    <row r="5" spans="1:16" ht="15" customHeight="1">
      <c r="A5" s="8" t="s">
        <v>3</v>
      </c>
      <c r="B5" s="12" t="s">
        <v>0</v>
      </c>
      <c r="C5" s="12" t="s">
        <v>1</v>
      </c>
      <c r="D5" s="12" t="s">
        <v>23</v>
      </c>
      <c r="E5" s="121"/>
      <c r="F5" s="12" t="s">
        <v>26</v>
      </c>
      <c r="G5" s="12" t="s">
        <v>27</v>
      </c>
      <c r="H5" s="50" t="s">
        <v>23</v>
      </c>
      <c r="I5" s="52"/>
      <c r="K5" s="53"/>
      <c r="L5" s="54"/>
      <c r="O5" s="11"/>
    </row>
    <row r="6" spans="1:16">
      <c r="A6" s="8" t="str">
        <f>'Data Input Sheet'!A5</f>
        <v>F/S S/C</v>
      </c>
      <c r="B6" s="57"/>
      <c r="C6" s="57"/>
      <c r="D6" s="58"/>
      <c r="E6" s="51"/>
      <c r="F6" s="9">
        <f>SUM(Summary!B20:C20)</f>
        <v>0</v>
      </c>
      <c r="G6" s="9">
        <f>SUM(Summary!D20:K20)</f>
        <v>0</v>
      </c>
      <c r="H6" s="9">
        <f>SUM(Summary!L20:N20)</f>
        <v>0</v>
      </c>
      <c r="I6" s="52">
        <f>E6+F6-G6-H6</f>
        <v>0</v>
      </c>
      <c r="O6" s="11"/>
    </row>
    <row r="7" spans="1:16">
      <c r="A7" s="8" t="str">
        <f>'Data Input Sheet'!A6</f>
        <v>S/C</v>
      </c>
      <c r="B7" s="57"/>
      <c r="C7" s="57"/>
      <c r="D7" s="58"/>
      <c r="E7" s="51"/>
      <c r="F7" s="9">
        <f>SUM(Summary!B21:C21)</f>
        <v>0</v>
      </c>
      <c r="G7" s="9">
        <f>SUM(Summary!D21:K21)</f>
        <v>0</v>
      </c>
      <c r="H7" s="9">
        <f>SUM(Summary!L21:N21)</f>
        <v>0</v>
      </c>
      <c r="I7" s="52">
        <f t="shared" ref="I7:I15" si="0">E7+F7-G7-H7</f>
        <v>0</v>
      </c>
      <c r="O7" s="11"/>
    </row>
    <row r="8" spans="1:16">
      <c r="A8" s="8" t="str">
        <f>'Data Input Sheet'!A7</f>
        <v>R. Bag</v>
      </c>
      <c r="B8" s="57"/>
      <c r="C8" s="57"/>
      <c r="D8" s="58"/>
      <c r="E8" s="51"/>
      <c r="F8" s="9">
        <f>SUM(Summary!B22:C22)</f>
        <v>0</v>
      </c>
      <c r="G8" s="9">
        <f>SUM(Summary!D22:K22)</f>
        <v>0</v>
      </c>
      <c r="H8" s="9">
        <f>SUM(Summary!L22:N22)</f>
        <v>0</v>
      </c>
      <c r="I8" s="52">
        <f t="shared" si="0"/>
        <v>0</v>
      </c>
      <c r="P8" s="11"/>
    </row>
    <row r="9" spans="1:16">
      <c r="A9" s="8" t="str">
        <f>'Data Input Sheet'!A8</f>
        <v>R/C F/D</v>
      </c>
      <c r="B9" s="57"/>
      <c r="C9" s="57"/>
      <c r="D9" s="58"/>
      <c r="E9" s="51"/>
      <c r="F9" s="9">
        <f>SUM(Summary!B23:C23)</f>
        <v>0</v>
      </c>
      <c r="G9" s="9">
        <f>SUM(Summary!D23:K23)</f>
        <v>0</v>
      </c>
      <c r="H9" s="9">
        <f>SUM(Summary!L23:N23)</f>
        <v>0</v>
      </c>
      <c r="I9" s="52">
        <f t="shared" si="0"/>
        <v>0</v>
      </c>
      <c r="P9" s="11"/>
    </row>
    <row r="10" spans="1:16">
      <c r="A10" s="8" t="str">
        <f>'Data Input Sheet'!A9</f>
        <v>Mat.Cover</v>
      </c>
      <c r="B10" s="57"/>
      <c r="C10" s="57"/>
      <c r="D10" s="58"/>
      <c r="E10" s="51"/>
      <c r="F10" s="9">
        <f>SUM(Summary!B24:C24)</f>
        <v>0</v>
      </c>
      <c r="G10" s="9">
        <f>SUM(Summary!D24:K24)</f>
        <v>23</v>
      </c>
      <c r="H10" s="9">
        <f>SUM(Summary!L24:N24)</f>
        <v>0</v>
      </c>
      <c r="I10" s="52">
        <f t="shared" si="0"/>
        <v>-23</v>
      </c>
      <c r="P10" s="11"/>
    </row>
    <row r="11" spans="1:16">
      <c r="A11" s="8" t="str">
        <f>'Data Input Sheet'!A10</f>
        <v>F/S S/C</v>
      </c>
      <c r="B11" s="57"/>
      <c r="C11" s="57"/>
      <c r="D11" s="58"/>
      <c r="E11" s="51"/>
      <c r="F11" s="9">
        <f>SUM(Summary!B25:C25)</f>
        <v>0</v>
      </c>
      <c r="G11" s="9">
        <f>SUM(Summary!D25:K25)</f>
        <v>0</v>
      </c>
      <c r="H11" s="9">
        <f>SUM(Summary!L25:N25)</f>
        <v>0</v>
      </c>
      <c r="I11" s="52">
        <f t="shared" si="0"/>
        <v>0</v>
      </c>
      <c r="P11" s="11"/>
    </row>
    <row r="12" spans="1:16">
      <c r="A12" s="8" t="str">
        <f>'Data Input Sheet'!A11</f>
        <v>M.BIN</v>
      </c>
      <c r="B12" s="57"/>
      <c r="C12" s="57"/>
      <c r="D12" s="58"/>
      <c r="E12" s="51"/>
      <c r="F12" s="9">
        <f>SUM(Summary!B26:C26)</f>
        <v>0</v>
      </c>
      <c r="G12" s="9">
        <f>SUM(Summary!D26:K26)</f>
        <v>0</v>
      </c>
      <c r="H12" s="9">
        <f>SUM(Summary!L26:N26)</f>
        <v>0</v>
      </c>
      <c r="I12" s="52">
        <f t="shared" si="0"/>
        <v>0</v>
      </c>
      <c r="P12" s="11"/>
    </row>
    <row r="13" spans="1:16">
      <c r="A13" s="8" t="str">
        <f>'Data Input Sheet'!A12</f>
        <v>R.Bag 24"</v>
      </c>
      <c r="B13" s="57"/>
      <c r="C13" s="57"/>
      <c r="D13" s="58"/>
      <c r="E13" s="51"/>
      <c r="F13" s="9">
        <f>SUM(Summary!B27:C27)</f>
        <v>0</v>
      </c>
      <c r="G13" s="9">
        <f>SUM(Summary!D27:K27)</f>
        <v>0</v>
      </c>
      <c r="H13" s="9">
        <f>SUM(Summary!L27:N27)</f>
        <v>0</v>
      </c>
      <c r="I13" s="52">
        <f t="shared" si="0"/>
        <v>0</v>
      </c>
      <c r="P13" s="11"/>
    </row>
    <row r="14" spans="1:16">
      <c r="A14" s="8" t="str">
        <f>'Data Input Sheet'!A13</f>
        <v>Parcel</v>
      </c>
      <c r="B14" s="57"/>
      <c r="C14" s="57"/>
      <c r="D14" s="58"/>
      <c r="E14" s="51"/>
      <c r="F14" s="9">
        <f>SUM(Summary!B28:C28)</f>
        <v>0</v>
      </c>
      <c r="G14" s="9">
        <f>SUM(Summary!D28:K28)</f>
        <v>0</v>
      </c>
      <c r="H14" s="9">
        <f>SUM(Summary!L28:N28)</f>
        <v>0</v>
      </c>
      <c r="I14" s="52">
        <f t="shared" si="0"/>
        <v>0</v>
      </c>
      <c r="P14" s="11"/>
    </row>
    <row r="15" spans="1:16">
      <c r="A15" s="8" t="str">
        <f>'Data Input Sheet'!A14</f>
        <v>Finishing</v>
      </c>
      <c r="B15" s="57"/>
      <c r="C15" s="57"/>
      <c r="D15" s="58"/>
      <c r="E15" s="51"/>
      <c r="F15" s="9">
        <f>SUM(Summary!B29:C29)</f>
        <v>0</v>
      </c>
      <c r="G15" s="9">
        <f>SUM(Summary!D29:K29)</f>
        <v>0</v>
      </c>
      <c r="H15" s="9">
        <f>SUM(Summary!L29:N29)</f>
        <v>0</v>
      </c>
      <c r="I15" s="52">
        <f t="shared" si="0"/>
        <v>0</v>
      </c>
      <c r="P15" s="11"/>
    </row>
    <row r="16" spans="1:16">
      <c r="A16" s="15"/>
      <c r="B16" s="11"/>
      <c r="C16" s="11"/>
      <c r="D16" s="11"/>
    </row>
    <row r="17" spans="1:15" ht="15.75" thickBot="1"/>
    <row r="18" spans="1:15" s="6" customFormat="1" ht="16.5" thickBot="1">
      <c r="A18" s="116" t="s">
        <v>28</v>
      </c>
      <c r="B18" s="117"/>
      <c r="C18" s="118"/>
      <c r="D18"/>
      <c r="E18"/>
      <c r="F18"/>
      <c r="G18"/>
      <c r="H18"/>
      <c r="I18"/>
      <c r="J18"/>
      <c r="K18"/>
      <c r="L18"/>
      <c r="M18"/>
      <c r="N18"/>
    </row>
    <row r="19" spans="1:15" ht="16.5" thickTop="1" thickBot="1">
      <c r="A19" s="35"/>
      <c r="B19" s="26" t="str">
        <f>'Data Input Sheet'!B3</f>
        <v>Kumar-C</v>
      </c>
      <c r="C19" s="26" t="str">
        <f>'Data Input Sheet'!C3</f>
        <v>Selvaraj-C</v>
      </c>
      <c r="D19" s="26" t="str">
        <f>'Data Input Sheet'!D3</f>
        <v>Kumar</v>
      </c>
      <c r="E19" s="26" t="str">
        <f>'Data Input Sheet'!E3</f>
        <v>Selvaraj</v>
      </c>
      <c r="F19" s="26" t="str">
        <f>'Data Input Sheet'!F3</f>
        <v>Rathinam</v>
      </c>
      <c r="G19" s="26" t="str">
        <f>'Data Input Sheet'!G3</f>
        <v>Kanagraj</v>
      </c>
      <c r="H19" s="26" t="str">
        <f>'Data Input Sheet'!H3</f>
        <v>Loganathan</v>
      </c>
      <c r="I19" s="26" t="str">
        <f>'Data Input Sheet'!I3</f>
        <v>Marshall</v>
      </c>
      <c r="J19" s="26" t="str">
        <f>'Data Input Sheet'!J3</f>
        <v>Sathish</v>
      </c>
      <c r="K19" s="26" t="str">
        <f>'Data Input Sheet'!K3</f>
        <v>[Tailor]</v>
      </c>
      <c r="L19" s="26" t="str">
        <f>'Data Input Sheet'!L3</f>
        <v>HW1</v>
      </c>
      <c r="M19" s="26" t="str">
        <f>'Data Input Sheet'!M3</f>
        <v>HW 2</v>
      </c>
      <c r="N19" s="27" t="str">
        <f>'Data Input Sheet'!N3</f>
        <v>HW 3</v>
      </c>
    </row>
    <row r="20" spans="1:15" s="6" customFormat="1">
      <c r="A20" s="3" t="str">
        <f>'Data Input Sheet'!A5</f>
        <v>F/S S/C</v>
      </c>
      <c r="B20" s="13">
        <f>SUM('Data Input Sheet'!B5,'Data Input Sheet'!B16,'Data Input Sheet'!B27,'Data Input Sheet'!B38,'Data Input Sheet'!B51,'Data Input Sheet'!B62,'Data Input Sheet'!B73)</f>
        <v>0</v>
      </c>
      <c r="C20" s="17">
        <f>SUM('Data Input Sheet'!C5,'Data Input Sheet'!C16,'Data Input Sheet'!C27,'Data Input Sheet'!C38,'Data Input Sheet'!C51,'Data Input Sheet'!C62,'Data Input Sheet'!C73)</f>
        <v>0</v>
      </c>
      <c r="D20" s="13">
        <f>SUM('Data Input Sheet'!D5,'Data Input Sheet'!D16,'Data Input Sheet'!D27,'Data Input Sheet'!D38,'Data Input Sheet'!D51,'Data Input Sheet'!D62,'Data Input Sheet'!D73)</f>
        <v>0</v>
      </c>
      <c r="E20" s="13">
        <f>SUM('Data Input Sheet'!E5,'Data Input Sheet'!E16,'Data Input Sheet'!E27,'Data Input Sheet'!E38,'Data Input Sheet'!E51,'Data Input Sheet'!E62,'Data Input Sheet'!E73)</f>
        <v>0</v>
      </c>
      <c r="F20" s="13">
        <f>SUM('Data Input Sheet'!F5,'Data Input Sheet'!F16,'Data Input Sheet'!F27,'Data Input Sheet'!F38,'Data Input Sheet'!F51,'Data Input Sheet'!F62,'Data Input Sheet'!F73)</f>
        <v>0</v>
      </c>
      <c r="G20" s="18">
        <f>SUM('Data Input Sheet'!G5,'Data Input Sheet'!G16,'Data Input Sheet'!G27,'Data Input Sheet'!G38,'Data Input Sheet'!G51,'Data Input Sheet'!G62,'Data Input Sheet'!G73)</f>
        <v>0</v>
      </c>
      <c r="H20" s="13">
        <f>SUM('Data Input Sheet'!H5,'Data Input Sheet'!H16,'Data Input Sheet'!H27,'Data Input Sheet'!H38,'Data Input Sheet'!H51,'Data Input Sheet'!H62,'Data Input Sheet'!H73)</f>
        <v>0</v>
      </c>
      <c r="I20" s="13">
        <f>SUM('Data Input Sheet'!I5,'Data Input Sheet'!I16,'Data Input Sheet'!I27,'Data Input Sheet'!I38,'Data Input Sheet'!I51,'Data Input Sheet'!I62,'Data Input Sheet'!I73)</f>
        <v>0</v>
      </c>
      <c r="J20" s="13">
        <f>SUM('Data Input Sheet'!J5,'Data Input Sheet'!J16,'Data Input Sheet'!J27,'Data Input Sheet'!J38,'Data Input Sheet'!J51,'Data Input Sheet'!J62,'Data Input Sheet'!J73)</f>
        <v>0</v>
      </c>
      <c r="K20" s="17">
        <f>SUM('Data Input Sheet'!K5,'Data Input Sheet'!K16,'Data Input Sheet'!K27,'Data Input Sheet'!K38,'Data Input Sheet'!K51,'Data Input Sheet'!K62,'Data Input Sheet'!K73)</f>
        <v>0</v>
      </c>
      <c r="L20" s="13">
        <f>SUM('Data Input Sheet'!L5,'Data Input Sheet'!L16,'Data Input Sheet'!L27,'Data Input Sheet'!L38,'Data Input Sheet'!L51,'Data Input Sheet'!L62,'Data Input Sheet'!L73)</f>
        <v>0</v>
      </c>
      <c r="M20" s="13">
        <f>SUM('Data Input Sheet'!M5,'Data Input Sheet'!M16,'Data Input Sheet'!M27,'Data Input Sheet'!M38,'Data Input Sheet'!M51,'Data Input Sheet'!M62,'Data Input Sheet'!M73)</f>
        <v>0</v>
      </c>
      <c r="N20" s="13">
        <f>SUM('Data Input Sheet'!N5,'Data Input Sheet'!N16,'Data Input Sheet'!N27,'Data Input Sheet'!N38,'Data Input Sheet'!N51,'Data Input Sheet'!N62,'Data Input Sheet'!N73)</f>
        <v>0</v>
      </c>
      <c r="O20" s="6">
        <f>SUM(B20:N20)</f>
        <v>0</v>
      </c>
    </row>
    <row r="21" spans="1:15">
      <c r="A21" s="19" t="str">
        <f>'Data Input Sheet'!A6</f>
        <v>S/C</v>
      </c>
      <c r="B21" s="14">
        <f>SUM('Data Input Sheet'!B6,'Data Input Sheet'!B17,'Data Input Sheet'!B28,'Data Input Sheet'!B39,'Data Input Sheet'!B52,'Data Input Sheet'!B63,'Data Input Sheet'!B74)</f>
        <v>0</v>
      </c>
      <c r="C21" s="20">
        <f>SUM('Data Input Sheet'!C6,'Data Input Sheet'!C17,'Data Input Sheet'!C28,'Data Input Sheet'!C39,'Data Input Sheet'!C52,'Data Input Sheet'!C63,'Data Input Sheet'!C74)</f>
        <v>0</v>
      </c>
      <c r="D21" s="14">
        <f>SUM('Data Input Sheet'!D6,'Data Input Sheet'!D17,'Data Input Sheet'!D28,'Data Input Sheet'!D39,'Data Input Sheet'!D52,'Data Input Sheet'!D63,'Data Input Sheet'!D74)</f>
        <v>0</v>
      </c>
      <c r="E21" s="14">
        <f>SUM('Data Input Sheet'!E6,'Data Input Sheet'!E17,'Data Input Sheet'!E28,'Data Input Sheet'!E39,'Data Input Sheet'!E52,'Data Input Sheet'!E63,'Data Input Sheet'!E74)</f>
        <v>0</v>
      </c>
      <c r="F21" s="14">
        <f>SUM('Data Input Sheet'!F6,'Data Input Sheet'!F17,'Data Input Sheet'!F28,'Data Input Sheet'!F39,'Data Input Sheet'!F52,'Data Input Sheet'!F63,'Data Input Sheet'!F74)</f>
        <v>0</v>
      </c>
      <c r="G21" s="21">
        <f>SUM('Data Input Sheet'!G6,'Data Input Sheet'!G17,'Data Input Sheet'!G28,'Data Input Sheet'!G39,'Data Input Sheet'!G52,'Data Input Sheet'!G63,'Data Input Sheet'!G74)</f>
        <v>0</v>
      </c>
      <c r="H21" s="14">
        <f>SUM('Data Input Sheet'!H6,'Data Input Sheet'!H17,'Data Input Sheet'!H28,'Data Input Sheet'!H39,'Data Input Sheet'!H52,'Data Input Sheet'!H63,'Data Input Sheet'!H74)</f>
        <v>0</v>
      </c>
      <c r="I21" s="14">
        <f>SUM('Data Input Sheet'!I6,'Data Input Sheet'!I17,'Data Input Sheet'!I28,'Data Input Sheet'!I39,'Data Input Sheet'!I52,'Data Input Sheet'!I63,'Data Input Sheet'!I74)</f>
        <v>0</v>
      </c>
      <c r="J21" s="14">
        <f>SUM('Data Input Sheet'!J6,'Data Input Sheet'!J17,'Data Input Sheet'!J28,'Data Input Sheet'!J39,'Data Input Sheet'!J52,'Data Input Sheet'!J63,'Data Input Sheet'!J74)</f>
        <v>0</v>
      </c>
      <c r="K21" s="20">
        <f>SUM('Data Input Sheet'!K6,'Data Input Sheet'!K17,'Data Input Sheet'!K28,'Data Input Sheet'!K39,'Data Input Sheet'!K52,'Data Input Sheet'!K63,'Data Input Sheet'!K74)</f>
        <v>0</v>
      </c>
      <c r="L21" s="14">
        <f>SUM('Data Input Sheet'!L6,'Data Input Sheet'!L17,'Data Input Sheet'!L28,'Data Input Sheet'!L39,'Data Input Sheet'!L52,'Data Input Sheet'!L63,'Data Input Sheet'!L74)</f>
        <v>0</v>
      </c>
      <c r="M21" s="14">
        <f>SUM('Data Input Sheet'!M6,'Data Input Sheet'!M17,'Data Input Sheet'!M28,'Data Input Sheet'!M39,'Data Input Sheet'!M52,'Data Input Sheet'!M63,'Data Input Sheet'!M74)</f>
        <v>0</v>
      </c>
      <c r="N21" s="14">
        <f>SUM('Data Input Sheet'!N6,'Data Input Sheet'!N17,'Data Input Sheet'!N28,'Data Input Sheet'!N39,'Data Input Sheet'!N52,'Data Input Sheet'!N63,'Data Input Sheet'!N74)</f>
        <v>0</v>
      </c>
      <c r="O21" s="6">
        <f t="shared" ref="O21:O28" si="1">SUM(B21:N21)</f>
        <v>0</v>
      </c>
    </row>
    <row r="22" spans="1:15" s="6" customFormat="1">
      <c r="A22" s="19" t="str">
        <f>'Data Input Sheet'!A7</f>
        <v>R. Bag</v>
      </c>
      <c r="B22" s="14">
        <f>SUM('Data Input Sheet'!B7,'Data Input Sheet'!B18,'Data Input Sheet'!B29,'Data Input Sheet'!B40,'Data Input Sheet'!B53,'Data Input Sheet'!B64,'Data Input Sheet'!B75)</f>
        <v>0</v>
      </c>
      <c r="C22" s="20">
        <f>SUM('Data Input Sheet'!C7,'Data Input Sheet'!C18,'Data Input Sheet'!C29,'Data Input Sheet'!C40,'Data Input Sheet'!C53,'Data Input Sheet'!C64,'Data Input Sheet'!C75)</f>
        <v>0</v>
      </c>
      <c r="D22" s="14">
        <f>SUM('Data Input Sheet'!D7,'Data Input Sheet'!D18,'Data Input Sheet'!D29,'Data Input Sheet'!D40,'Data Input Sheet'!D53,'Data Input Sheet'!D64,'Data Input Sheet'!D75)</f>
        <v>0</v>
      </c>
      <c r="E22" s="14">
        <f>SUM('Data Input Sheet'!E7,'Data Input Sheet'!E18,'Data Input Sheet'!E29,'Data Input Sheet'!E40,'Data Input Sheet'!E53,'Data Input Sheet'!E64,'Data Input Sheet'!E75)</f>
        <v>0</v>
      </c>
      <c r="F22" s="14">
        <f>SUM('Data Input Sheet'!F7,'Data Input Sheet'!F18,'Data Input Sheet'!F29,'Data Input Sheet'!F40,'Data Input Sheet'!F53,'Data Input Sheet'!F64,'Data Input Sheet'!F75)</f>
        <v>0</v>
      </c>
      <c r="G22" s="21">
        <f>SUM('Data Input Sheet'!G7,'Data Input Sheet'!G18,'Data Input Sheet'!G29,'Data Input Sheet'!G40,'Data Input Sheet'!G53,'Data Input Sheet'!G64,'Data Input Sheet'!G75)</f>
        <v>0</v>
      </c>
      <c r="H22" s="14">
        <f>SUM('Data Input Sheet'!H7,'Data Input Sheet'!H18,'Data Input Sheet'!H29,'Data Input Sheet'!H40,'Data Input Sheet'!H53,'Data Input Sheet'!H64,'Data Input Sheet'!H75)</f>
        <v>0</v>
      </c>
      <c r="I22" s="14">
        <f>SUM('Data Input Sheet'!I7,'Data Input Sheet'!I18,'Data Input Sheet'!I29,'Data Input Sheet'!I40,'Data Input Sheet'!I53,'Data Input Sheet'!I64,'Data Input Sheet'!I75)</f>
        <v>0</v>
      </c>
      <c r="J22" s="14">
        <f>SUM('Data Input Sheet'!J7,'Data Input Sheet'!J18,'Data Input Sheet'!J29,'Data Input Sheet'!J40,'Data Input Sheet'!J53,'Data Input Sheet'!J64,'Data Input Sheet'!J75)</f>
        <v>0</v>
      </c>
      <c r="K22" s="20">
        <f>SUM('Data Input Sheet'!K7,'Data Input Sheet'!K18,'Data Input Sheet'!K29,'Data Input Sheet'!K40,'Data Input Sheet'!K53,'Data Input Sheet'!K64,'Data Input Sheet'!K75)</f>
        <v>0</v>
      </c>
      <c r="L22" s="14">
        <f>SUM('Data Input Sheet'!L7,'Data Input Sheet'!L18,'Data Input Sheet'!L29,'Data Input Sheet'!L40,'Data Input Sheet'!L53,'Data Input Sheet'!L64,'Data Input Sheet'!L75)</f>
        <v>0</v>
      </c>
      <c r="M22" s="14">
        <f>SUM('Data Input Sheet'!M7,'Data Input Sheet'!M18,'Data Input Sheet'!M29,'Data Input Sheet'!M40,'Data Input Sheet'!M53,'Data Input Sheet'!M64,'Data Input Sheet'!M75)</f>
        <v>0</v>
      </c>
      <c r="N22" s="14">
        <f>SUM('Data Input Sheet'!N7,'Data Input Sheet'!N18,'Data Input Sheet'!N29,'Data Input Sheet'!N40,'Data Input Sheet'!N53,'Data Input Sheet'!N64,'Data Input Sheet'!N75)</f>
        <v>0</v>
      </c>
      <c r="O22" s="6">
        <f t="shared" si="1"/>
        <v>0</v>
      </c>
    </row>
    <row r="23" spans="1:15">
      <c r="A23" s="19" t="str">
        <f>'Data Input Sheet'!A8</f>
        <v>R/C F/D</v>
      </c>
      <c r="B23" s="14">
        <f>SUM('Data Input Sheet'!B8,'Data Input Sheet'!B19,'Data Input Sheet'!B30,'Data Input Sheet'!B41,'Data Input Sheet'!B54,'Data Input Sheet'!B65,'Data Input Sheet'!B76)</f>
        <v>0</v>
      </c>
      <c r="C23" s="20">
        <f>SUM('Data Input Sheet'!C8,'Data Input Sheet'!C19,'Data Input Sheet'!C30,'Data Input Sheet'!C41,'Data Input Sheet'!C54,'Data Input Sheet'!C65,'Data Input Sheet'!C76)</f>
        <v>0</v>
      </c>
      <c r="D23" s="14">
        <f>SUM('Data Input Sheet'!D8,'Data Input Sheet'!D19,'Data Input Sheet'!D30,'Data Input Sheet'!D41,'Data Input Sheet'!D54,'Data Input Sheet'!D65,'Data Input Sheet'!D76)</f>
        <v>0</v>
      </c>
      <c r="E23" s="14">
        <f>SUM('Data Input Sheet'!E8,'Data Input Sheet'!E19,'Data Input Sheet'!E30,'Data Input Sheet'!E41,'Data Input Sheet'!E54,'Data Input Sheet'!E65,'Data Input Sheet'!E76)</f>
        <v>0</v>
      </c>
      <c r="F23" s="14">
        <f>SUM('Data Input Sheet'!F8,'Data Input Sheet'!F19,'Data Input Sheet'!F30,'Data Input Sheet'!F41,'Data Input Sheet'!F54,'Data Input Sheet'!F65,'Data Input Sheet'!F76)</f>
        <v>0</v>
      </c>
      <c r="G23" s="21">
        <f>SUM('Data Input Sheet'!G8,'Data Input Sheet'!G19,'Data Input Sheet'!G30,'Data Input Sheet'!G41,'Data Input Sheet'!G54,'Data Input Sheet'!G65,'Data Input Sheet'!G76)</f>
        <v>0</v>
      </c>
      <c r="H23" s="14">
        <f>SUM('Data Input Sheet'!H8,'Data Input Sheet'!H19,'Data Input Sheet'!H30,'Data Input Sheet'!H41,'Data Input Sheet'!H54,'Data Input Sheet'!H65,'Data Input Sheet'!H76)</f>
        <v>0</v>
      </c>
      <c r="I23" s="14">
        <f>SUM('Data Input Sheet'!I8,'Data Input Sheet'!I19,'Data Input Sheet'!I30,'Data Input Sheet'!I41,'Data Input Sheet'!I54,'Data Input Sheet'!I65,'Data Input Sheet'!I76)</f>
        <v>0</v>
      </c>
      <c r="J23" s="14">
        <f>SUM('Data Input Sheet'!J8,'Data Input Sheet'!J19,'Data Input Sheet'!J30,'Data Input Sheet'!J41,'Data Input Sheet'!J54,'Data Input Sheet'!J65,'Data Input Sheet'!J76)</f>
        <v>0</v>
      </c>
      <c r="K23" s="20">
        <f>SUM('Data Input Sheet'!K8,'Data Input Sheet'!K19,'Data Input Sheet'!K30,'Data Input Sheet'!K41,'Data Input Sheet'!K54,'Data Input Sheet'!K65,'Data Input Sheet'!K76)</f>
        <v>0</v>
      </c>
      <c r="L23" s="14">
        <f>SUM('Data Input Sheet'!L8,'Data Input Sheet'!L19,'Data Input Sheet'!L30,'Data Input Sheet'!L41,'Data Input Sheet'!L54,'Data Input Sheet'!L65,'Data Input Sheet'!L76)</f>
        <v>0</v>
      </c>
      <c r="M23" s="14">
        <f>SUM('Data Input Sheet'!M8,'Data Input Sheet'!M19,'Data Input Sheet'!M30,'Data Input Sheet'!M41,'Data Input Sheet'!M54,'Data Input Sheet'!M65,'Data Input Sheet'!M76)</f>
        <v>0</v>
      </c>
      <c r="N23" s="14">
        <f>SUM('Data Input Sheet'!N8,'Data Input Sheet'!N19,'Data Input Sheet'!N30,'Data Input Sheet'!N41,'Data Input Sheet'!N54,'Data Input Sheet'!N65,'Data Input Sheet'!N76)</f>
        <v>0</v>
      </c>
      <c r="O23" s="6">
        <f t="shared" si="1"/>
        <v>0</v>
      </c>
    </row>
    <row r="24" spans="1:15">
      <c r="A24" s="19" t="str">
        <f>'Data Input Sheet'!A9</f>
        <v>Mat.Cover</v>
      </c>
      <c r="B24" s="14">
        <f>SUM('Data Input Sheet'!B9,'Data Input Sheet'!B20,'Data Input Sheet'!B31,'Data Input Sheet'!B42,'Data Input Sheet'!B55,'Data Input Sheet'!B66,'Data Input Sheet'!B77)</f>
        <v>0</v>
      </c>
      <c r="C24" s="20">
        <f>SUM('Data Input Sheet'!C9,'Data Input Sheet'!C20,'Data Input Sheet'!C31,'Data Input Sheet'!C42,'Data Input Sheet'!C55,'Data Input Sheet'!C66,'Data Input Sheet'!C77)</f>
        <v>0</v>
      </c>
      <c r="D24" s="14">
        <f>SUM('Data Input Sheet'!D9,'Data Input Sheet'!D20,'Data Input Sheet'!D31,'Data Input Sheet'!D42,'Data Input Sheet'!D55,'Data Input Sheet'!D66,'Data Input Sheet'!D77)</f>
        <v>0</v>
      </c>
      <c r="E24" s="14">
        <f>SUM('Data Input Sheet'!E9,'Data Input Sheet'!E20,'Data Input Sheet'!E31,'Data Input Sheet'!E42,'Data Input Sheet'!E55,'Data Input Sheet'!E66,'Data Input Sheet'!E77)</f>
        <v>0</v>
      </c>
      <c r="F24" s="14">
        <f>SUM('Data Input Sheet'!F9,'Data Input Sheet'!F20,'Data Input Sheet'!F31,'Data Input Sheet'!F42,'Data Input Sheet'!F55,'Data Input Sheet'!F66,'Data Input Sheet'!F77)</f>
        <v>23</v>
      </c>
      <c r="G24" s="21">
        <f>SUM('Data Input Sheet'!G9,'Data Input Sheet'!G20,'Data Input Sheet'!G31,'Data Input Sheet'!G42,'Data Input Sheet'!G55,'Data Input Sheet'!G66,'Data Input Sheet'!G77)</f>
        <v>0</v>
      </c>
      <c r="H24" s="14">
        <f>SUM('Data Input Sheet'!H9,'Data Input Sheet'!H20,'Data Input Sheet'!H31,'Data Input Sheet'!H42,'Data Input Sheet'!H55,'Data Input Sheet'!H66,'Data Input Sheet'!H77)</f>
        <v>0</v>
      </c>
      <c r="I24" s="14">
        <f>SUM('Data Input Sheet'!I9,'Data Input Sheet'!I20,'Data Input Sheet'!I31,'Data Input Sheet'!I42,'Data Input Sheet'!I55,'Data Input Sheet'!I66,'Data Input Sheet'!I77)</f>
        <v>0</v>
      </c>
      <c r="J24" s="14">
        <f>SUM('Data Input Sheet'!J9,'Data Input Sheet'!J20,'Data Input Sheet'!J31,'Data Input Sheet'!J42,'Data Input Sheet'!J55,'Data Input Sheet'!J66,'Data Input Sheet'!J77)</f>
        <v>0</v>
      </c>
      <c r="K24" s="20">
        <f>SUM('Data Input Sheet'!K9,'Data Input Sheet'!K20,'Data Input Sheet'!K31,'Data Input Sheet'!K42,'Data Input Sheet'!K55,'Data Input Sheet'!K66,'Data Input Sheet'!K77)</f>
        <v>0</v>
      </c>
      <c r="L24" s="14">
        <f>SUM('Data Input Sheet'!L9,'Data Input Sheet'!L20,'Data Input Sheet'!L31,'Data Input Sheet'!L42,'Data Input Sheet'!L55,'Data Input Sheet'!L66,'Data Input Sheet'!L77)</f>
        <v>0</v>
      </c>
      <c r="M24" s="14">
        <f>SUM('Data Input Sheet'!M9,'Data Input Sheet'!M20,'Data Input Sheet'!M31,'Data Input Sheet'!M42,'Data Input Sheet'!M55,'Data Input Sheet'!M66,'Data Input Sheet'!M77)</f>
        <v>0</v>
      </c>
      <c r="N24" s="14">
        <f>SUM('Data Input Sheet'!N9,'Data Input Sheet'!N20,'Data Input Sheet'!N31,'Data Input Sheet'!N42,'Data Input Sheet'!N55,'Data Input Sheet'!N66,'Data Input Sheet'!N77)</f>
        <v>0</v>
      </c>
      <c r="O24" s="6">
        <f t="shared" si="1"/>
        <v>23</v>
      </c>
    </row>
    <row r="25" spans="1:15">
      <c r="A25" s="19" t="str">
        <f>'Data Input Sheet'!A10</f>
        <v>F/S S/C</v>
      </c>
      <c r="B25" s="14">
        <f>SUM('Data Input Sheet'!B10,'Data Input Sheet'!B21,'Data Input Sheet'!B32,'Data Input Sheet'!B43,'Data Input Sheet'!B56,'Data Input Sheet'!B67,'Data Input Sheet'!B78)</f>
        <v>0</v>
      </c>
      <c r="C25" s="20">
        <f>SUM('Data Input Sheet'!C10,'Data Input Sheet'!C21,'Data Input Sheet'!C32,'Data Input Sheet'!C43,'Data Input Sheet'!C56,'Data Input Sheet'!C67,'Data Input Sheet'!C78)</f>
        <v>0</v>
      </c>
      <c r="D25" s="14">
        <f>SUM('Data Input Sheet'!D10,'Data Input Sheet'!D21,'Data Input Sheet'!D32,'Data Input Sheet'!D43,'Data Input Sheet'!D56,'Data Input Sheet'!D67,'Data Input Sheet'!D78)</f>
        <v>0</v>
      </c>
      <c r="E25" s="14">
        <f>SUM('Data Input Sheet'!E10,'Data Input Sheet'!E21,'Data Input Sheet'!E32,'Data Input Sheet'!E43,'Data Input Sheet'!E56,'Data Input Sheet'!E67,'Data Input Sheet'!E78)</f>
        <v>0</v>
      </c>
      <c r="F25" s="14">
        <f>SUM('Data Input Sheet'!F10,'Data Input Sheet'!F21,'Data Input Sheet'!F32,'Data Input Sheet'!F43,'Data Input Sheet'!F56,'Data Input Sheet'!F67,'Data Input Sheet'!F78)</f>
        <v>0</v>
      </c>
      <c r="G25" s="21">
        <f>SUM('Data Input Sheet'!G10,'Data Input Sheet'!G21,'Data Input Sheet'!G32,'Data Input Sheet'!G43,'Data Input Sheet'!G56,'Data Input Sheet'!G67,'Data Input Sheet'!G78)</f>
        <v>0</v>
      </c>
      <c r="H25" s="14">
        <f>SUM('Data Input Sheet'!H10,'Data Input Sheet'!H21,'Data Input Sheet'!H32,'Data Input Sheet'!H43,'Data Input Sheet'!H56,'Data Input Sheet'!H67,'Data Input Sheet'!H78)</f>
        <v>0</v>
      </c>
      <c r="I25" s="14">
        <f>SUM('Data Input Sheet'!I10,'Data Input Sheet'!I21,'Data Input Sheet'!I32,'Data Input Sheet'!I43,'Data Input Sheet'!I56,'Data Input Sheet'!I67,'Data Input Sheet'!I78)</f>
        <v>0</v>
      </c>
      <c r="J25" s="14">
        <f>SUM('Data Input Sheet'!J10,'Data Input Sheet'!J21,'Data Input Sheet'!J32,'Data Input Sheet'!J43,'Data Input Sheet'!J56,'Data Input Sheet'!J67,'Data Input Sheet'!J78)</f>
        <v>0</v>
      </c>
      <c r="K25" s="20">
        <f>SUM('Data Input Sheet'!K10,'Data Input Sheet'!K21,'Data Input Sheet'!K32,'Data Input Sheet'!K43,'Data Input Sheet'!K56,'Data Input Sheet'!K67,'Data Input Sheet'!K78)</f>
        <v>0</v>
      </c>
      <c r="L25" s="14">
        <f>SUM('Data Input Sheet'!L10,'Data Input Sheet'!L21,'Data Input Sheet'!L32,'Data Input Sheet'!L43,'Data Input Sheet'!L56,'Data Input Sheet'!L67,'Data Input Sheet'!L78)</f>
        <v>0</v>
      </c>
      <c r="M25" s="14">
        <f>SUM('Data Input Sheet'!M10,'Data Input Sheet'!M21,'Data Input Sheet'!M32,'Data Input Sheet'!M43,'Data Input Sheet'!M56,'Data Input Sheet'!M67,'Data Input Sheet'!M78)</f>
        <v>0</v>
      </c>
      <c r="N25" s="14">
        <f>SUM('Data Input Sheet'!N10,'Data Input Sheet'!N21,'Data Input Sheet'!N32,'Data Input Sheet'!N43,'Data Input Sheet'!N56,'Data Input Sheet'!N67,'Data Input Sheet'!N78)</f>
        <v>0</v>
      </c>
      <c r="O25" s="6">
        <f t="shared" si="1"/>
        <v>0</v>
      </c>
    </row>
    <row r="26" spans="1:15">
      <c r="A26" s="19" t="str">
        <f>'Data Input Sheet'!A11</f>
        <v>M.BIN</v>
      </c>
      <c r="B26" s="14">
        <f>SUM('Data Input Sheet'!B11,'Data Input Sheet'!B22,'Data Input Sheet'!B33,'Data Input Sheet'!B44,'Data Input Sheet'!B57,'Data Input Sheet'!B68,'Data Input Sheet'!B79)</f>
        <v>0</v>
      </c>
      <c r="C26" s="20">
        <f>SUM('Data Input Sheet'!C11,'Data Input Sheet'!C22,'Data Input Sheet'!C33,'Data Input Sheet'!C44,'Data Input Sheet'!C57,'Data Input Sheet'!C68,'Data Input Sheet'!C79)</f>
        <v>0</v>
      </c>
      <c r="D26" s="14">
        <f>SUM('Data Input Sheet'!D11,'Data Input Sheet'!D22,'Data Input Sheet'!D33,'Data Input Sheet'!D44,'Data Input Sheet'!D57,'Data Input Sheet'!D68,'Data Input Sheet'!D79)</f>
        <v>0</v>
      </c>
      <c r="E26" s="14">
        <f>SUM('Data Input Sheet'!E11,'Data Input Sheet'!E22,'Data Input Sheet'!E33,'Data Input Sheet'!E44,'Data Input Sheet'!E57,'Data Input Sheet'!E68,'Data Input Sheet'!E79)</f>
        <v>0</v>
      </c>
      <c r="F26" s="14">
        <f>SUM('Data Input Sheet'!F11,'Data Input Sheet'!F22,'Data Input Sheet'!F33,'Data Input Sheet'!F44,'Data Input Sheet'!F57,'Data Input Sheet'!F68,'Data Input Sheet'!F79)</f>
        <v>0</v>
      </c>
      <c r="G26" s="21">
        <f>SUM('Data Input Sheet'!G11,'Data Input Sheet'!G22,'Data Input Sheet'!G33,'Data Input Sheet'!G44,'Data Input Sheet'!G57,'Data Input Sheet'!G68,'Data Input Sheet'!G79)</f>
        <v>0</v>
      </c>
      <c r="H26" s="14">
        <f>SUM('Data Input Sheet'!H11,'Data Input Sheet'!H22,'Data Input Sheet'!H33,'Data Input Sheet'!H44,'Data Input Sheet'!H57,'Data Input Sheet'!H68,'Data Input Sheet'!H79)</f>
        <v>0</v>
      </c>
      <c r="I26" s="14">
        <f>SUM('Data Input Sheet'!I11,'Data Input Sheet'!I22,'Data Input Sheet'!I33,'Data Input Sheet'!I44,'Data Input Sheet'!I57,'Data Input Sheet'!I68,'Data Input Sheet'!I79)</f>
        <v>0</v>
      </c>
      <c r="J26" s="14">
        <f>SUM('Data Input Sheet'!J11,'Data Input Sheet'!J22,'Data Input Sheet'!J33,'Data Input Sheet'!J44,'Data Input Sheet'!J57,'Data Input Sheet'!J68,'Data Input Sheet'!J79)</f>
        <v>0</v>
      </c>
      <c r="K26" s="20">
        <f>SUM('Data Input Sheet'!K11,'Data Input Sheet'!K22,'Data Input Sheet'!K33,'Data Input Sheet'!K44,'Data Input Sheet'!K57,'Data Input Sheet'!K68,'Data Input Sheet'!K79)</f>
        <v>0</v>
      </c>
      <c r="L26" s="14">
        <f>SUM('Data Input Sheet'!L11,'Data Input Sheet'!L22,'Data Input Sheet'!L33,'Data Input Sheet'!L44,'Data Input Sheet'!L57,'Data Input Sheet'!L68,'Data Input Sheet'!L79)</f>
        <v>0</v>
      </c>
      <c r="M26" s="14">
        <f>SUM('Data Input Sheet'!M11,'Data Input Sheet'!M22,'Data Input Sheet'!M33,'Data Input Sheet'!M44,'Data Input Sheet'!M57,'Data Input Sheet'!M68,'Data Input Sheet'!M79)</f>
        <v>0</v>
      </c>
      <c r="N26" s="14">
        <f>SUM('Data Input Sheet'!N11,'Data Input Sheet'!N22,'Data Input Sheet'!N33,'Data Input Sheet'!N44,'Data Input Sheet'!N57,'Data Input Sheet'!N68,'Data Input Sheet'!N79)</f>
        <v>0</v>
      </c>
      <c r="O26" s="6">
        <f t="shared" si="1"/>
        <v>0</v>
      </c>
    </row>
    <row r="27" spans="1:15">
      <c r="A27" s="19" t="str">
        <f>'Data Input Sheet'!A12</f>
        <v>R.Bag 24"</v>
      </c>
      <c r="B27" s="14">
        <f>SUM('Data Input Sheet'!B12,'Data Input Sheet'!B23,'Data Input Sheet'!B34,'Data Input Sheet'!B45,'Data Input Sheet'!B58,'Data Input Sheet'!B69,'Data Input Sheet'!B80)</f>
        <v>0</v>
      </c>
      <c r="C27" s="20">
        <f>SUM('Data Input Sheet'!C12,'Data Input Sheet'!C23,'Data Input Sheet'!C34,'Data Input Sheet'!C45,'Data Input Sheet'!C58,'Data Input Sheet'!C69,'Data Input Sheet'!C80)</f>
        <v>0</v>
      </c>
      <c r="D27" s="14">
        <f>SUM('Data Input Sheet'!D12,'Data Input Sheet'!D23,'Data Input Sheet'!D34,'Data Input Sheet'!D45,'Data Input Sheet'!D58,'Data Input Sheet'!D69,'Data Input Sheet'!D80)</f>
        <v>0</v>
      </c>
      <c r="E27" s="14">
        <f>SUM('Data Input Sheet'!E12,'Data Input Sheet'!E23,'Data Input Sheet'!E34,'Data Input Sheet'!E45,'Data Input Sheet'!E58,'Data Input Sheet'!E69,'Data Input Sheet'!E80)</f>
        <v>0</v>
      </c>
      <c r="F27" s="14">
        <f>SUM('Data Input Sheet'!F12,'Data Input Sheet'!F23,'Data Input Sheet'!F34,'Data Input Sheet'!F45,'Data Input Sheet'!F58,'Data Input Sheet'!F69,'Data Input Sheet'!F80)</f>
        <v>0</v>
      </c>
      <c r="G27" s="21">
        <f>SUM('Data Input Sheet'!G12,'Data Input Sheet'!G23,'Data Input Sheet'!G34,'Data Input Sheet'!G45,'Data Input Sheet'!G58,'Data Input Sheet'!G69,'Data Input Sheet'!G80)</f>
        <v>0</v>
      </c>
      <c r="H27" s="14">
        <f>SUM('Data Input Sheet'!H12,'Data Input Sheet'!H23,'Data Input Sheet'!H34,'Data Input Sheet'!H45,'Data Input Sheet'!H58,'Data Input Sheet'!H69,'Data Input Sheet'!H80)</f>
        <v>0</v>
      </c>
      <c r="I27" s="14">
        <f>SUM('Data Input Sheet'!I12,'Data Input Sheet'!I23,'Data Input Sheet'!I34,'Data Input Sheet'!I45,'Data Input Sheet'!I58,'Data Input Sheet'!I69,'Data Input Sheet'!I80)</f>
        <v>0</v>
      </c>
      <c r="J27" s="14">
        <f>SUM('Data Input Sheet'!J12,'Data Input Sheet'!J23,'Data Input Sheet'!J34,'Data Input Sheet'!J45,'Data Input Sheet'!J58,'Data Input Sheet'!J69,'Data Input Sheet'!J80)</f>
        <v>0</v>
      </c>
      <c r="K27" s="20">
        <f>SUM('Data Input Sheet'!K12,'Data Input Sheet'!K23,'Data Input Sheet'!K34,'Data Input Sheet'!K45,'Data Input Sheet'!K58,'Data Input Sheet'!K69,'Data Input Sheet'!K80)</f>
        <v>0</v>
      </c>
      <c r="L27" s="14">
        <f>SUM('Data Input Sheet'!L12,'Data Input Sheet'!L23,'Data Input Sheet'!L34,'Data Input Sheet'!L45,'Data Input Sheet'!L58,'Data Input Sheet'!L69,'Data Input Sheet'!L80)</f>
        <v>0</v>
      </c>
      <c r="M27" s="14">
        <f>SUM('Data Input Sheet'!M12,'Data Input Sheet'!M23,'Data Input Sheet'!M34,'Data Input Sheet'!M45,'Data Input Sheet'!M58,'Data Input Sheet'!M69,'Data Input Sheet'!M80)</f>
        <v>0</v>
      </c>
      <c r="N27" s="14">
        <f>SUM('Data Input Sheet'!N12,'Data Input Sheet'!N23,'Data Input Sheet'!N34,'Data Input Sheet'!N45,'Data Input Sheet'!N58,'Data Input Sheet'!N69,'Data Input Sheet'!N80)</f>
        <v>0</v>
      </c>
      <c r="O27" s="6">
        <f t="shared" si="1"/>
        <v>0</v>
      </c>
    </row>
    <row r="28" spans="1:15">
      <c r="A28" s="19" t="str">
        <f>'Data Input Sheet'!A13</f>
        <v>Parcel</v>
      </c>
      <c r="B28" s="14">
        <f>SUM('Data Input Sheet'!B13,'Data Input Sheet'!B24,'Data Input Sheet'!B35,'Data Input Sheet'!B46,'Data Input Sheet'!B59,'Data Input Sheet'!B70,'Data Input Sheet'!B81)</f>
        <v>0</v>
      </c>
      <c r="C28" s="20">
        <f>SUM('Data Input Sheet'!C13,'Data Input Sheet'!C24,'Data Input Sheet'!C35,'Data Input Sheet'!C46,'Data Input Sheet'!C59,'Data Input Sheet'!C70,'Data Input Sheet'!C81)</f>
        <v>0</v>
      </c>
      <c r="D28" s="14">
        <f>SUM('Data Input Sheet'!D13,'Data Input Sheet'!D24,'Data Input Sheet'!D35,'Data Input Sheet'!D46,'Data Input Sheet'!D59,'Data Input Sheet'!D70,'Data Input Sheet'!D81)</f>
        <v>0</v>
      </c>
      <c r="E28" s="14">
        <f>SUM('Data Input Sheet'!E13,'Data Input Sheet'!E24,'Data Input Sheet'!E35,'Data Input Sheet'!E46,'Data Input Sheet'!E59,'Data Input Sheet'!E70,'Data Input Sheet'!E81)</f>
        <v>0</v>
      </c>
      <c r="F28" s="14">
        <f>SUM('Data Input Sheet'!F13,'Data Input Sheet'!F24,'Data Input Sheet'!F35,'Data Input Sheet'!F46,'Data Input Sheet'!F59,'Data Input Sheet'!F70,'Data Input Sheet'!F81)</f>
        <v>0</v>
      </c>
      <c r="G28" s="21">
        <f>SUM('Data Input Sheet'!G13,'Data Input Sheet'!G24,'Data Input Sheet'!G35,'Data Input Sheet'!G46,'Data Input Sheet'!G59,'Data Input Sheet'!G70,'Data Input Sheet'!G81)</f>
        <v>0</v>
      </c>
      <c r="H28" s="14">
        <f>SUM('Data Input Sheet'!H13,'Data Input Sheet'!H24,'Data Input Sheet'!H35,'Data Input Sheet'!H46,'Data Input Sheet'!H59,'Data Input Sheet'!H70,'Data Input Sheet'!H81)</f>
        <v>0</v>
      </c>
      <c r="I28" s="14">
        <f>SUM('Data Input Sheet'!I13,'Data Input Sheet'!I24,'Data Input Sheet'!I35,'Data Input Sheet'!I46,'Data Input Sheet'!I59,'Data Input Sheet'!I70,'Data Input Sheet'!I81)</f>
        <v>0</v>
      </c>
      <c r="J28" s="14">
        <f>SUM('Data Input Sheet'!J13,'Data Input Sheet'!J24,'Data Input Sheet'!J35,'Data Input Sheet'!J46,'Data Input Sheet'!J59,'Data Input Sheet'!J70,'Data Input Sheet'!J81)</f>
        <v>0</v>
      </c>
      <c r="K28" s="20">
        <f>SUM('Data Input Sheet'!K13,'Data Input Sheet'!K24,'Data Input Sheet'!K35,'Data Input Sheet'!K46,'Data Input Sheet'!K59,'Data Input Sheet'!K70,'Data Input Sheet'!K81)</f>
        <v>0</v>
      </c>
      <c r="L28" s="14">
        <f>SUM('Data Input Sheet'!L13,'Data Input Sheet'!L24,'Data Input Sheet'!L35,'Data Input Sheet'!L46,'Data Input Sheet'!L59,'Data Input Sheet'!L70,'Data Input Sheet'!L81)</f>
        <v>0</v>
      </c>
      <c r="M28" s="14">
        <f>SUM('Data Input Sheet'!M13,'Data Input Sheet'!M24,'Data Input Sheet'!M35,'Data Input Sheet'!M46,'Data Input Sheet'!M59,'Data Input Sheet'!M70,'Data Input Sheet'!M81)</f>
        <v>0</v>
      </c>
      <c r="N28" s="14">
        <f>SUM('Data Input Sheet'!N13,'Data Input Sheet'!N24,'Data Input Sheet'!N35,'Data Input Sheet'!N46,'Data Input Sheet'!N59,'Data Input Sheet'!N70,'Data Input Sheet'!N81)</f>
        <v>0</v>
      </c>
      <c r="O28" s="6">
        <f t="shared" si="1"/>
        <v>0</v>
      </c>
    </row>
    <row r="29" spans="1:15">
      <c r="A29" s="4" t="str">
        <f>'Data Input Sheet'!A14</f>
        <v>Finishing</v>
      </c>
      <c r="B29" s="10">
        <f>SUM('Data Input Sheet'!B14,'Data Input Sheet'!B25,'Data Input Sheet'!B36,'Data Input Sheet'!B47,'Data Input Sheet'!B60,'Data Input Sheet'!B71,'Data Input Sheet'!B82)</f>
        <v>0</v>
      </c>
      <c r="C29" s="22">
        <f>SUM('Data Input Sheet'!C14,'Data Input Sheet'!C25,'Data Input Sheet'!C36,'Data Input Sheet'!C47,'Data Input Sheet'!C60,'Data Input Sheet'!C71,'Data Input Sheet'!C82)</f>
        <v>0</v>
      </c>
      <c r="D29" s="10">
        <f>SUM('Data Input Sheet'!D14,'Data Input Sheet'!D25,'Data Input Sheet'!D36,'Data Input Sheet'!D47,'Data Input Sheet'!D60,'Data Input Sheet'!D71,'Data Input Sheet'!D82)</f>
        <v>0</v>
      </c>
      <c r="E29" s="10">
        <f>SUM('Data Input Sheet'!E14,'Data Input Sheet'!E25,'Data Input Sheet'!E36,'Data Input Sheet'!E47,'Data Input Sheet'!E60,'Data Input Sheet'!E71,'Data Input Sheet'!E82)</f>
        <v>0</v>
      </c>
      <c r="F29" s="10">
        <f>SUM('Data Input Sheet'!F14,'Data Input Sheet'!F25,'Data Input Sheet'!F36,'Data Input Sheet'!F47,'Data Input Sheet'!F60,'Data Input Sheet'!F71,'Data Input Sheet'!F82)</f>
        <v>0</v>
      </c>
      <c r="G29" s="23">
        <f>SUM('Data Input Sheet'!G14,'Data Input Sheet'!G25,'Data Input Sheet'!G36,'Data Input Sheet'!G47,'Data Input Sheet'!G60,'Data Input Sheet'!G71,'Data Input Sheet'!G82)</f>
        <v>0</v>
      </c>
      <c r="H29" s="10">
        <f>SUM('Data Input Sheet'!H14,'Data Input Sheet'!H25,'Data Input Sheet'!H36,'Data Input Sheet'!H47,'Data Input Sheet'!H60,'Data Input Sheet'!H71,'Data Input Sheet'!H82)</f>
        <v>0</v>
      </c>
      <c r="I29" s="10">
        <f>SUM('Data Input Sheet'!I14,'Data Input Sheet'!I25,'Data Input Sheet'!I36,'Data Input Sheet'!I47,'Data Input Sheet'!I60,'Data Input Sheet'!I71,'Data Input Sheet'!I82)</f>
        <v>0</v>
      </c>
      <c r="J29" s="10">
        <f>SUM('Data Input Sheet'!J14,'Data Input Sheet'!J25,'Data Input Sheet'!J36,'Data Input Sheet'!J47,'Data Input Sheet'!J60,'Data Input Sheet'!J71,'Data Input Sheet'!J82)</f>
        <v>0</v>
      </c>
      <c r="K29" s="22">
        <f>SUM('Data Input Sheet'!K14,'Data Input Sheet'!K25,'Data Input Sheet'!K36,'Data Input Sheet'!K47,'Data Input Sheet'!K60,'Data Input Sheet'!K71,'Data Input Sheet'!K82)</f>
        <v>0</v>
      </c>
      <c r="L29" s="10">
        <f>SUM('Data Input Sheet'!L14,'Data Input Sheet'!L25,'Data Input Sheet'!L36,'Data Input Sheet'!L47,'Data Input Sheet'!L60,'Data Input Sheet'!L71,'Data Input Sheet'!L82)</f>
        <v>0</v>
      </c>
      <c r="M29" s="10">
        <f>SUM('Data Input Sheet'!M14,'Data Input Sheet'!M25,'Data Input Sheet'!M36,'Data Input Sheet'!M47,'Data Input Sheet'!M60,'Data Input Sheet'!M71,'Data Input Sheet'!M82)</f>
        <v>0</v>
      </c>
      <c r="N29" s="10">
        <f>SUM('Data Input Sheet'!N14,'Data Input Sheet'!N25,'Data Input Sheet'!N36,'Data Input Sheet'!N47,'Data Input Sheet'!N60,'Data Input Sheet'!N71,'Data Input Sheet'!N82)</f>
        <v>0</v>
      </c>
      <c r="O29" s="6">
        <f>SUM(B29:N29)</f>
        <v>0</v>
      </c>
    </row>
    <row r="30" spans="1:15">
      <c r="A30" s="15"/>
      <c r="B30" s="11"/>
      <c r="C30" s="11"/>
      <c r="D30" s="11"/>
      <c r="E30" s="11"/>
      <c r="F30" s="11"/>
      <c r="G30" s="16"/>
      <c r="H30" s="11"/>
      <c r="I30" s="11"/>
      <c r="J30" s="11"/>
      <c r="K30" s="11"/>
      <c r="L30" s="11"/>
      <c r="M30" s="11"/>
      <c r="N30" s="11"/>
    </row>
    <row r="31" spans="1:15" ht="15.75" thickBot="1"/>
    <row r="32" spans="1:15" ht="16.5" thickBot="1">
      <c r="A32" s="116" t="s">
        <v>36</v>
      </c>
      <c r="B32" s="117"/>
      <c r="C32" s="118"/>
    </row>
    <row r="33" spans="1:15" ht="16.5" thickTop="1" thickBot="1">
      <c r="A33" s="37"/>
      <c r="B33" s="26" t="str">
        <f>'Data Input Sheet'!B3</f>
        <v>Kumar-C</v>
      </c>
      <c r="C33" s="26" t="str">
        <f>'Data Input Sheet'!C3</f>
        <v>Selvaraj-C</v>
      </c>
      <c r="D33" s="26" t="str">
        <f>'Data Input Sheet'!D3</f>
        <v>Kumar</v>
      </c>
      <c r="E33" s="26" t="str">
        <f>'Data Input Sheet'!E3</f>
        <v>Selvaraj</v>
      </c>
      <c r="F33" s="26" t="str">
        <f>'Data Input Sheet'!F3</f>
        <v>Rathinam</v>
      </c>
      <c r="G33" s="26" t="str">
        <f>'Data Input Sheet'!G3</f>
        <v>Kanagraj</v>
      </c>
      <c r="H33" s="26" t="str">
        <f>'Data Input Sheet'!H3</f>
        <v>Loganathan</v>
      </c>
      <c r="I33" s="26" t="str">
        <f>'Data Input Sheet'!I3</f>
        <v>Marshall</v>
      </c>
      <c r="J33" s="26" t="str">
        <f>'Data Input Sheet'!J3</f>
        <v>Sathish</v>
      </c>
      <c r="K33" s="26" t="str">
        <f>'Data Input Sheet'!K3</f>
        <v>[Tailor]</v>
      </c>
      <c r="L33" s="26" t="str">
        <f>'Data Input Sheet'!L3</f>
        <v>HW1</v>
      </c>
      <c r="M33" s="26" t="str">
        <f>'Data Input Sheet'!M3</f>
        <v>HW 2</v>
      </c>
      <c r="N33" s="27" t="str">
        <f>'Data Input Sheet'!N3</f>
        <v>HW 3</v>
      </c>
    </row>
    <row r="35" spans="1:15" ht="29.25" customHeight="1">
      <c r="A35" s="38" t="s">
        <v>30</v>
      </c>
      <c r="B35" s="36">
        <f>(Summary!B20*$B6)+(Summary!B21*$B7)+(Summary!B22*$B8)+(Summary!B23*$B9)+(Summary!B24*$B10)+(Summary!B25*$B11)+(Summary!B26*$B12)+(Summary!B27*$B13)+(Summary!B28*$B14)+(Summary!B29*$B15)</f>
        <v>0</v>
      </c>
      <c r="C35" s="25">
        <f>(Summary!C20*$B6)+(Summary!C21*$B7)+(Summary!C22*$B8)+(Summary!C23*$B9)+(Summary!C24*$B10)+(Summary!C25*$B11)+(Summary!C26*$B12)+(Summary!C27*$B13)+(Summary!C28*$B14)+(Summary!C29*$B15)</f>
        <v>0</v>
      </c>
      <c r="D35" s="25">
        <f>(Summary!D20*$C6)+(Summary!D21*$C7)+(Summary!D22*$C8)+(Summary!D23*$C9)+(Summary!D24*$C10)+(Summary!D25*$C11)+(Summary!D26*$C12)+(Summary!D27*$C13)+(Summary!D28*$C14)+(Summary!D29*$C15)</f>
        <v>0</v>
      </c>
      <c r="E35" s="25">
        <f>(Summary!E20*$C6)+(Summary!E21*$C7)+(Summary!E22*$C8)+(Summary!E23*$C9)+(Summary!E24*$C10)+(Summary!E25*$C11)+(Summary!E26*$C12)+(Summary!E27*$C13)+(Summary!E28*$C14)+(Summary!E29*$C15)</f>
        <v>0</v>
      </c>
      <c r="F35" s="25">
        <f>(Summary!F20*$C6)+(Summary!F21*$C7)+(Summary!F22*$C8)+(Summary!F23*$C9)+(Summary!F24*$C10)+(Summary!F25*$C11)+(Summary!F26*$C12)+(Summary!F27*$C13)+(Summary!F28*$C14)+(Summary!F29*$C15)</f>
        <v>0</v>
      </c>
      <c r="G35" s="25">
        <f>(Summary!G20*$C6)+(Summary!G21*$C7)+(Summary!G22*$C8)+(Summary!G23*$C9)+(Summary!G24*$C10)+(Summary!G25*$C11)+(Summary!G26*$C12)+(Summary!G27*$C13)+(Summary!G28*$C14)+(Summary!G29*$C15)</f>
        <v>0</v>
      </c>
      <c r="H35" s="25">
        <f>(Summary!H20*$C6)+(Summary!H21*$C7)+(Summary!H22*$C8)+(Summary!H23*$C9)+(Summary!H24*$C10)+(Summary!H25*$C11)+(Summary!H26*$C12)+(Summary!H27*$C13)+(Summary!H28*$C14)+(Summary!H29*$C15)</f>
        <v>0</v>
      </c>
      <c r="I35" s="25">
        <f>(Summary!I20*$C6)+(Summary!I21*$C7)+(Summary!I22*$C8)+(Summary!I23*$C9)+(Summary!I24*$C10)+(Summary!I25*$C11)+(Summary!I26*$C12)+(Summary!I27*$C13)+(Summary!I28*$C14)+(Summary!I29*$C15)</f>
        <v>0</v>
      </c>
      <c r="J35" s="25">
        <f>(Summary!J20*$C6)+(Summary!J21*$C7)+(Summary!J22*$C8)+(Summary!J23*$C9)+(Summary!J24*$C10)+(Summary!J25*$C11)+(Summary!J26*$C12)+(Summary!J27*$C13)+(Summary!J28*$C14)+(Summary!J29*$C15)</f>
        <v>0</v>
      </c>
      <c r="K35" s="25">
        <f>(Summary!K20*$C6)+(Summary!K21*$C7)+(Summary!K22*$C8)+(Summary!K23*$C9)+(Summary!K24*$C10)+(Summary!K25*$C11)+(Summary!K26*$C12)+(Summary!K27*$C13)+(Summary!K28*$C14)+(Summary!K29*$C15)</f>
        <v>0</v>
      </c>
      <c r="L35" s="25">
        <f>(Summary!L20*$D6)+(Summary!L21*$D7)+(Summary!L22*$D8)+(Summary!L23*$D9)+(Summary!L24*$D10)+(Summary!L25*$D11)+(Summary!L26*$D12)+(Summary!L27*$D13)+(Summary!L28*$D14)+(Summary!L29*$D15)</f>
        <v>0</v>
      </c>
      <c r="M35" s="25">
        <f>(Summary!M20*$D6)+(Summary!M21*$D7)+(Summary!M22*$D8)+(Summary!M23*$D9)+(Summary!M24*$D10)+(Summary!M25*$D11)+(Summary!M26*$D12)+(Summary!M27*$D13)+(Summary!M28*$D14)+(Summary!M29*$D15)</f>
        <v>0</v>
      </c>
      <c r="N35" s="25">
        <f>(Summary!N20*$D6)+(Summary!N21*$D7)+(Summary!N22*$D8)+(Summary!N23*$D9)+(Summary!N24*$D10)+(Summary!N25*$D11)+(Summary!N26*$D12)+(Summary!N27*$D13)+(Summary!N28*$D14)+(Summary!N29*$D15)</f>
        <v>0</v>
      </c>
      <c r="O35" s="24">
        <f>SUM(B35:N35)</f>
        <v>0</v>
      </c>
    </row>
    <row r="36" spans="1:15" ht="29.25" customHeight="1">
      <c r="A36" s="38" t="s">
        <v>33</v>
      </c>
      <c r="B36" s="25">
        <f>'Data Input Sheet'!B87</f>
        <v>0</v>
      </c>
      <c r="C36" s="25">
        <f>'Data Input Sheet'!C87</f>
        <v>0</v>
      </c>
      <c r="D36" s="25">
        <f>'Data Input Sheet'!D87</f>
        <v>0</v>
      </c>
      <c r="E36" s="25">
        <f>'Data Input Sheet'!E87</f>
        <v>0</v>
      </c>
      <c r="F36" s="25">
        <f>'Data Input Sheet'!F87</f>
        <v>0</v>
      </c>
      <c r="G36" s="25">
        <f>'Data Input Sheet'!G87</f>
        <v>0</v>
      </c>
      <c r="H36" s="25">
        <f>'Data Input Sheet'!H87</f>
        <v>0</v>
      </c>
      <c r="I36" s="25">
        <f>'Data Input Sheet'!I87</f>
        <v>0</v>
      </c>
      <c r="J36" s="25">
        <f>'Data Input Sheet'!J87</f>
        <v>0</v>
      </c>
      <c r="K36" s="25">
        <f>'Data Input Sheet'!K87</f>
        <v>0</v>
      </c>
      <c r="L36" s="25">
        <f>'Data Input Sheet'!L87</f>
        <v>0</v>
      </c>
      <c r="M36" s="25">
        <f>'Data Input Sheet'!M87</f>
        <v>0</v>
      </c>
      <c r="N36" s="25">
        <f>'Data Input Sheet'!N87</f>
        <v>0</v>
      </c>
      <c r="O36" s="24">
        <f t="shared" ref="O36:O37" si="2">SUM(B36:N36)</f>
        <v>0</v>
      </c>
    </row>
    <row r="37" spans="1:15" ht="29.25" customHeight="1">
      <c r="A37" s="48" t="s">
        <v>34</v>
      </c>
      <c r="B37" s="43">
        <v>0</v>
      </c>
      <c r="C37" s="43">
        <v>0</v>
      </c>
      <c r="D37" s="43">
        <v>0</v>
      </c>
      <c r="E37" s="43">
        <v>0</v>
      </c>
      <c r="F37" s="43">
        <v>0</v>
      </c>
      <c r="G37" s="43">
        <v>0</v>
      </c>
      <c r="H37" s="43">
        <v>0</v>
      </c>
      <c r="I37" s="43">
        <v>0</v>
      </c>
      <c r="J37" s="43">
        <v>0</v>
      </c>
      <c r="K37" s="43">
        <v>0</v>
      </c>
      <c r="L37" s="43">
        <v>0</v>
      </c>
      <c r="M37" s="43">
        <v>0</v>
      </c>
      <c r="N37" s="43">
        <v>0</v>
      </c>
      <c r="O37" s="24">
        <f t="shared" si="2"/>
        <v>0</v>
      </c>
    </row>
    <row r="38" spans="1:15" ht="39">
      <c r="A38" s="38" t="s">
        <v>37</v>
      </c>
      <c r="B38" s="36">
        <f t="shared" ref="B38:N38" si="3">B39+B35-B36-B37</f>
        <v>0</v>
      </c>
      <c r="C38" s="36">
        <f t="shared" si="3"/>
        <v>0</v>
      </c>
      <c r="D38" s="36">
        <f t="shared" si="3"/>
        <v>0</v>
      </c>
      <c r="E38" s="36">
        <f t="shared" si="3"/>
        <v>0</v>
      </c>
      <c r="F38" s="36">
        <f t="shared" si="3"/>
        <v>0</v>
      </c>
      <c r="G38" s="36">
        <f t="shared" si="3"/>
        <v>0</v>
      </c>
      <c r="H38" s="36">
        <f t="shared" si="3"/>
        <v>0</v>
      </c>
      <c r="I38" s="36">
        <f t="shared" si="3"/>
        <v>0</v>
      </c>
      <c r="J38" s="36">
        <f t="shared" si="3"/>
        <v>0</v>
      </c>
      <c r="K38" s="36">
        <f t="shared" si="3"/>
        <v>0</v>
      </c>
      <c r="L38" s="36">
        <f t="shared" si="3"/>
        <v>0</v>
      </c>
      <c r="M38" s="36">
        <f t="shared" si="3"/>
        <v>0</v>
      </c>
      <c r="N38" s="36">
        <f t="shared" si="3"/>
        <v>0</v>
      </c>
    </row>
    <row r="39" spans="1:15" ht="39">
      <c r="A39" s="38" t="s">
        <v>39</v>
      </c>
      <c r="B39" s="36">
        <v>0</v>
      </c>
      <c r="C39" s="36">
        <v>0</v>
      </c>
      <c r="D39" s="36">
        <v>0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</row>
  </sheetData>
  <sheetProtection password="8A29" sheet="1" objects="1" scenarios="1" formatColumns="0" formatRows="0"/>
  <protectedRanges>
    <protectedRange sqref="B39:N39" name="Brought Forward from 2009"/>
    <protectedRange sqref="A3" name="Labour Rate Schedule_1"/>
    <protectedRange password="C606" sqref="B37:N37" name="Range1"/>
    <protectedRange sqref="B6:D15" name="Rates of Wages"/>
    <protectedRange sqref="E6:E15" name="Old Cumulative balance_1"/>
  </protectedRanges>
  <customSheetViews>
    <customSheetView guid="{6A84FC39-7CCC-4F40-857F-05D51DF9D1C8}">
      <selection activeCell="I11" sqref="I11"/>
      <colBreaks count="1" manualBreakCount="1">
        <brk id="14" max="1048575" man="1"/>
      </colBreaks>
      <pageMargins left="0.7" right="0.7" top="0.75" bottom="0.75" header="0.3" footer="0.3"/>
      <pageSetup scale="75" orientation="landscape" verticalDpi="0" r:id="rId1"/>
    </customSheetView>
  </customSheetViews>
  <mergeCells count="6">
    <mergeCell ref="H4:I4"/>
    <mergeCell ref="F3:H3"/>
    <mergeCell ref="A18:C18"/>
    <mergeCell ref="A32:C32"/>
    <mergeCell ref="E3:E5"/>
    <mergeCell ref="A3:D3"/>
  </mergeCells>
  <hyperlinks>
    <hyperlink ref="A3" r:id="rId2" location="Sheet1!A1" display="Labor Rate Schedule"/>
  </hyperlinks>
  <pageMargins left="0.7" right="0.7" top="0.75" bottom="0.75" header="0.3" footer="0.3"/>
  <pageSetup scale="75" orientation="landscape" r:id="rId3"/>
  <headerFooter>
    <oddHeader>&amp;CSummary of the week &amp;F</oddHeader>
  </headerFooter>
  <colBreaks count="1" manualBreakCount="1">
    <brk id="14" max="1048575" man="1"/>
  </colBreaks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Data Input Sheet</vt:lpstr>
      <vt:lpstr>Summary</vt:lpstr>
      <vt:lpstr>Actual_Paid</vt:lpstr>
      <vt:lpstr>Labor_Rate_Schedule</vt:lpstr>
      <vt:lpstr>'Data Input Sheet'!Print_Area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Vaishali</dc:creator>
  <cp:lastModifiedBy>Vaishali</cp:lastModifiedBy>
  <cp:lastPrinted>2010-01-06T07:33:46Z</cp:lastPrinted>
  <dcterms:created xsi:type="dcterms:W3CDTF">2009-09-21T22:59:45Z</dcterms:created>
  <dcterms:modified xsi:type="dcterms:W3CDTF">2010-01-07T08:53:15Z</dcterms:modified>
</cp:coreProperties>
</file>