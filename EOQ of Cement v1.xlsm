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chin\Documents\"/>
    </mc:Choice>
  </mc:AlternateContent>
  <bookViews>
    <workbookView xWindow="0" yWindow="0" windowWidth="20490" windowHeight="6930" activeTab="1"/>
  </bookViews>
  <sheets>
    <sheet name="Answer Report 1" sheetId="2" r:id="rId1"/>
    <sheet name="Cement" sheetId="1" r:id="rId2"/>
    <sheet name="Linearity Report 1" sheetId="4" r:id="rId3"/>
    <sheet name="Sheet1" sheetId="3" r:id="rId4"/>
  </sheets>
  <functionGroups builtInGroupCount="18"/>
  <definedNames>
    <definedName name="solver_adj" localSheetId="1" hidden="1">Cement!$M$3:$M$95</definedName>
    <definedName name="solver_adj" localSheetId="3" hidden="1">Sheet1!$M$3:$M$95</definedName>
    <definedName name="solver_cvg" localSheetId="1" hidden="1">0.0001</definedName>
    <definedName name="solver_cvg" localSheetId="3" hidden="1">0.0001</definedName>
    <definedName name="solver_drv" localSheetId="1" hidden="1">2</definedName>
    <definedName name="solver_drv" localSheetId="3" hidden="1">1</definedName>
    <definedName name="solver_eng" localSheetId="1" hidden="1">3</definedName>
    <definedName name="solver_eng" localSheetId="3" hidden="1">3</definedName>
    <definedName name="solver_est" localSheetId="1" hidden="1">1</definedName>
    <definedName name="solver_est" localSheetId="3" hidden="1">1</definedName>
    <definedName name="solver_itr" localSheetId="1" hidden="1">2147483647</definedName>
    <definedName name="solver_itr" localSheetId="3" hidden="1">2147483647</definedName>
    <definedName name="solver_lhs1" localSheetId="1" hidden="1">Cement!$M$3:$M$95</definedName>
    <definedName name="solver_lhs1" localSheetId="3" hidden="1">Sheet1!$M$3:$M$95</definedName>
    <definedName name="solver_lhs2" localSheetId="1" hidden="1">Cement!$M$3:$M$95</definedName>
    <definedName name="solver_lhs2" localSheetId="3" hidden="1">Sheet1!$P$3:$P$95</definedName>
    <definedName name="solver_lhs3" localSheetId="1" hidden="1">Cement!$R$3:$R$95</definedName>
    <definedName name="solver_lhs3" localSheetId="3" hidden="1">Sheet1!$P$3:$P$95</definedName>
    <definedName name="solver_lhs4" localSheetId="1" hidden="1">Cement!$R$3:$R$95</definedName>
    <definedName name="solver_mip" localSheetId="1" hidden="1">2147483647</definedName>
    <definedName name="solver_mip" localSheetId="3" hidden="1">2147483647</definedName>
    <definedName name="solver_mni" localSheetId="1" hidden="1">30</definedName>
    <definedName name="solver_mni" localSheetId="3" hidden="1">30</definedName>
    <definedName name="solver_mrt" localSheetId="1" hidden="1">0.075</definedName>
    <definedName name="solver_mrt" localSheetId="3" hidden="1">0.075</definedName>
    <definedName name="solver_msl" localSheetId="1" hidden="1">2</definedName>
    <definedName name="solver_msl" localSheetId="3" hidden="1">2</definedName>
    <definedName name="solver_neg" localSheetId="1" hidden="1">1</definedName>
    <definedName name="solver_neg" localSheetId="3" hidden="1">1</definedName>
    <definedName name="solver_nod" localSheetId="1" hidden="1">2147483647</definedName>
    <definedName name="solver_nod" localSheetId="3" hidden="1">2147483647</definedName>
    <definedName name="solver_num" localSheetId="1" hidden="1">3</definedName>
    <definedName name="solver_num" localSheetId="3" hidden="1">2</definedName>
    <definedName name="solver_nwt" localSheetId="1" hidden="1">1</definedName>
    <definedName name="solver_nwt" localSheetId="3" hidden="1">1</definedName>
    <definedName name="solver_opt" localSheetId="1" hidden="1">Cement!$T$98</definedName>
    <definedName name="solver_opt" localSheetId="3" hidden="1">Sheet1!$U$98</definedName>
    <definedName name="solver_pre" localSheetId="1" hidden="1">0.000001</definedName>
    <definedName name="solver_pre" localSheetId="3" hidden="1">0.000001</definedName>
    <definedName name="solver_rbv" localSheetId="1" hidden="1">2</definedName>
    <definedName name="solver_rbv" localSheetId="3" hidden="1">1</definedName>
    <definedName name="solver_rel1" localSheetId="1" hidden="1">1</definedName>
    <definedName name="solver_rel1" localSheetId="3" hidden="1">1</definedName>
    <definedName name="solver_rel2" localSheetId="1" hidden="1">4</definedName>
    <definedName name="solver_rel2" localSheetId="3" hidden="1">3</definedName>
    <definedName name="solver_rel3" localSheetId="1" hidden="1">3</definedName>
    <definedName name="solver_rel3" localSheetId="3" hidden="1">3</definedName>
    <definedName name="solver_rel4" localSheetId="1" hidden="1">3</definedName>
    <definedName name="solver_rhs1" localSheetId="1" hidden="1">4</definedName>
    <definedName name="solver_rhs1" localSheetId="3" hidden="1">4</definedName>
    <definedName name="solver_rhs2" localSheetId="1" hidden="1">integer</definedName>
    <definedName name="solver_rhs2" localSheetId="3" hidden="1">10</definedName>
    <definedName name="solver_rhs3" localSheetId="1" hidden="1">Cement!$Q$1</definedName>
    <definedName name="solver_rhs3" localSheetId="3" hidden="1">10</definedName>
    <definedName name="solver_rhs4" localSheetId="1" hidden="1">Cement!$Q$1</definedName>
    <definedName name="solver_rlx" localSheetId="1" hidden="1">2</definedName>
    <definedName name="solver_rlx" localSheetId="3" hidden="1">2</definedName>
    <definedName name="solver_rsd" localSheetId="1" hidden="1">0</definedName>
    <definedName name="solver_rsd" localSheetId="3" hidden="1">0</definedName>
    <definedName name="solver_scl" localSheetId="1" hidden="1">2</definedName>
    <definedName name="solver_scl" localSheetId="3" hidden="1">1</definedName>
    <definedName name="solver_sho" localSheetId="1" hidden="1">2</definedName>
    <definedName name="solver_sho" localSheetId="3" hidden="1">2</definedName>
    <definedName name="solver_ssz" localSheetId="1" hidden="1">1000</definedName>
    <definedName name="solver_ssz" localSheetId="3" hidden="1">100</definedName>
    <definedName name="solver_tim" localSheetId="1" hidden="1">2147483647</definedName>
    <definedName name="solver_tim" localSheetId="3" hidden="1">2147483647</definedName>
    <definedName name="solver_tol" localSheetId="1" hidden="1">0.01</definedName>
    <definedName name="solver_tol" localSheetId="3" hidden="1">0.01</definedName>
    <definedName name="solver_typ" localSheetId="1" hidden="1">2</definedName>
    <definedName name="solver_typ" localSheetId="3" hidden="1">2</definedName>
    <definedName name="solver_val" localSheetId="1" hidden="1">0</definedName>
    <definedName name="solver_val" localSheetId="3" hidden="1">0</definedName>
    <definedName name="solver_ver" localSheetId="1" hidden="1">3</definedName>
    <definedName name="solver_ver" localSheetId="3" hidden="1">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98" i="3" l="1"/>
  <c r="T98" i="3"/>
  <c r="S98" i="3"/>
  <c r="G98" i="3"/>
  <c r="F98" i="3"/>
  <c r="E98" i="3"/>
  <c r="T95" i="3"/>
  <c r="S95" i="3"/>
  <c r="R95" i="3"/>
  <c r="P95" i="3"/>
  <c r="O95" i="3"/>
  <c r="N95" i="3"/>
  <c r="E95" i="3"/>
  <c r="D95" i="3"/>
  <c r="T94" i="3"/>
  <c r="S94" i="3"/>
  <c r="R94" i="3"/>
  <c r="P94" i="3"/>
  <c r="O94" i="3"/>
  <c r="N94" i="3"/>
  <c r="E94" i="3"/>
  <c r="D94" i="3"/>
  <c r="T93" i="3"/>
  <c r="S93" i="3"/>
  <c r="R93" i="3"/>
  <c r="P93" i="3"/>
  <c r="O93" i="3"/>
  <c r="N93" i="3"/>
  <c r="E93" i="3"/>
  <c r="D93" i="3"/>
  <c r="T92" i="3"/>
  <c r="S92" i="3"/>
  <c r="R92" i="3"/>
  <c r="P92" i="3"/>
  <c r="O92" i="3"/>
  <c r="N92" i="3"/>
  <c r="E92" i="3"/>
  <c r="D92" i="3"/>
  <c r="T91" i="3"/>
  <c r="S91" i="3"/>
  <c r="R91" i="3"/>
  <c r="P91" i="3"/>
  <c r="O91" i="3"/>
  <c r="N91" i="3"/>
  <c r="E91" i="3"/>
  <c r="D91" i="3"/>
  <c r="T90" i="3"/>
  <c r="S90" i="3"/>
  <c r="R90" i="3"/>
  <c r="P90" i="3"/>
  <c r="O90" i="3"/>
  <c r="N90" i="3"/>
  <c r="E90" i="3"/>
  <c r="D90" i="3"/>
  <c r="T89" i="3"/>
  <c r="S89" i="3"/>
  <c r="R89" i="3"/>
  <c r="P89" i="3"/>
  <c r="O89" i="3"/>
  <c r="N89" i="3"/>
  <c r="E89" i="3"/>
  <c r="D89" i="3"/>
  <c r="T88" i="3"/>
  <c r="S88" i="3"/>
  <c r="R88" i="3"/>
  <c r="P88" i="3"/>
  <c r="O88" i="3"/>
  <c r="N88" i="3"/>
  <c r="E88" i="3"/>
  <c r="D88" i="3"/>
  <c r="T87" i="3"/>
  <c r="S87" i="3"/>
  <c r="R87" i="3"/>
  <c r="P87" i="3"/>
  <c r="O87" i="3"/>
  <c r="N87" i="3"/>
  <c r="E87" i="3"/>
  <c r="D87" i="3"/>
  <c r="T86" i="3"/>
  <c r="S86" i="3"/>
  <c r="R86" i="3"/>
  <c r="P86" i="3"/>
  <c r="O86" i="3"/>
  <c r="N86" i="3"/>
  <c r="E86" i="3"/>
  <c r="D86" i="3"/>
  <c r="T85" i="3"/>
  <c r="S85" i="3"/>
  <c r="R85" i="3"/>
  <c r="P85" i="3"/>
  <c r="O85" i="3"/>
  <c r="N85" i="3"/>
  <c r="E85" i="3"/>
  <c r="D85" i="3"/>
  <c r="T84" i="3"/>
  <c r="S84" i="3"/>
  <c r="R84" i="3"/>
  <c r="P84" i="3"/>
  <c r="O84" i="3"/>
  <c r="N84" i="3"/>
  <c r="E84" i="3"/>
  <c r="D84" i="3"/>
  <c r="T83" i="3"/>
  <c r="S83" i="3"/>
  <c r="R83" i="3"/>
  <c r="P83" i="3"/>
  <c r="O83" i="3"/>
  <c r="N83" i="3"/>
  <c r="E83" i="3"/>
  <c r="D83" i="3"/>
  <c r="T82" i="3"/>
  <c r="S82" i="3"/>
  <c r="R82" i="3"/>
  <c r="P82" i="3"/>
  <c r="O82" i="3"/>
  <c r="N82" i="3"/>
  <c r="E82" i="3"/>
  <c r="D82" i="3"/>
  <c r="T81" i="3"/>
  <c r="S81" i="3"/>
  <c r="R81" i="3"/>
  <c r="P81" i="3"/>
  <c r="O81" i="3"/>
  <c r="N81" i="3"/>
  <c r="E81" i="3"/>
  <c r="D81" i="3"/>
  <c r="T80" i="3"/>
  <c r="S80" i="3"/>
  <c r="R80" i="3"/>
  <c r="P80" i="3"/>
  <c r="O80" i="3"/>
  <c r="N80" i="3"/>
  <c r="E80" i="3"/>
  <c r="D80" i="3"/>
  <c r="T79" i="3"/>
  <c r="S79" i="3"/>
  <c r="R79" i="3"/>
  <c r="P79" i="3"/>
  <c r="O79" i="3"/>
  <c r="N79" i="3"/>
  <c r="E79" i="3"/>
  <c r="D79" i="3"/>
  <c r="T78" i="3"/>
  <c r="S78" i="3"/>
  <c r="R78" i="3"/>
  <c r="P78" i="3"/>
  <c r="O78" i="3"/>
  <c r="N78" i="3"/>
  <c r="E78" i="3"/>
  <c r="D78" i="3"/>
  <c r="T77" i="3"/>
  <c r="S77" i="3"/>
  <c r="R77" i="3"/>
  <c r="P77" i="3"/>
  <c r="O77" i="3"/>
  <c r="N77" i="3"/>
  <c r="E77" i="3"/>
  <c r="D77" i="3"/>
  <c r="T76" i="3"/>
  <c r="S76" i="3"/>
  <c r="R76" i="3"/>
  <c r="P76" i="3"/>
  <c r="O76" i="3"/>
  <c r="N76" i="3"/>
  <c r="E76" i="3"/>
  <c r="D76" i="3"/>
  <c r="T75" i="3"/>
  <c r="S75" i="3"/>
  <c r="R75" i="3"/>
  <c r="P75" i="3"/>
  <c r="O75" i="3"/>
  <c r="N75" i="3"/>
  <c r="E75" i="3"/>
  <c r="D75" i="3"/>
  <c r="T74" i="3"/>
  <c r="S74" i="3"/>
  <c r="R74" i="3"/>
  <c r="P74" i="3"/>
  <c r="O74" i="3"/>
  <c r="N74" i="3"/>
  <c r="E74" i="3"/>
  <c r="D74" i="3"/>
  <c r="T73" i="3"/>
  <c r="S73" i="3"/>
  <c r="R73" i="3"/>
  <c r="P73" i="3"/>
  <c r="O73" i="3"/>
  <c r="N73" i="3"/>
  <c r="E73" i="3"/>
  <c r="D73" i="3"/>
  <c r="T72" i="3"/>
  <c r="S72" i="3"/>
  <c r="R72" i="3"/>
  <c r="P72" i="3"/>
  <c r="O72" i="3"/>
  <c r="N72" i="3"/>
  <c r="E72" i="3"/>
  <c r="D72" i="3"/>
  <c r="T71" i="3"/>
  <c r="S71" i="3"/>
  <c r="R71" i="3"/>
  <c r="P71" i="3"/>
  <c r="O71" i="3"/>
  <c r="N71" i="3"/>
  <c r="E71" i="3"/>
  <c r="D71" i="3"/>
  <c r="T70" i="3"/>
  <c r="S70" i="3"/>
  <c r="R70" i="3"/>
  <c r="P70" i="3"/>
  <c r="O70" i="3"/>
  <c r="N70" i="3"/>
  <c r="E70" i="3"/>
  <c r="D70" i="3"/>
  <c r="T69" i="3"/>
  <c r="S69" i="3"/>
  <c r="R69" i="3"/>
  <c r="P69" i="3"/>
  <c r="O69" i="3"/>
  <c r="N69" i="3"/>
  <c r="E69" i="3"/>
  <c r="D69" i="3"/>
  <c r="T68" i="3"/>
  <c r="S68" i="3"/>
  <c r="R68" i="3"/>
  <c r="P68" i="3"/>
  <c r="O68" i="3"/>
  <c r="N68" i="3"/>
  <c r="E68" i="3"/>
  <c r="D68" i="3"/>
  <c r="T67" i="3"/>
  <c r="S67" i="3"/>
  <c r="R67" i="3"/>
  <c r="P67" i="3"/>
  <c r="O67" i="3"/>
  <c r="N67" i="3"/>
  <c r="E67" i="3"/>
  <c r="D67" i="3"/>
  <c r="T66" i="3"/>
  <c r="S66" i="3"/>
  <c r="R66" i="3"/>
  <c r="P66" i="3"/>
  <c r="O66" i="3"/>
  <c r="N66" i="3"/>
  <c r="E66" i="3"/>
  <c r="D66" i="3"/>
  <c r="T65" i="3"/>
  <c r="S65" i="3"/>
  <c r="R65" i="3"/>
  <c r="P65" i="3"/>
  <c r="O65" i="3"/>
  <c r="N65" i="3"/>
  <c r="E65" i="3"/>
  <c r="D65" i="3"/>
  <c r="T64" i="3"/>
  <c r="S64" i="3"/>
  <c r="R64" i="3"/>
  <c r="P64" i="3"/>
  <c r="O64" i="3"/>
  <c r="N64" i="3"/>
  <c r="E64" i="3"/>
  <c r="D64" i="3"/>
  <c r="T63" i="3"/>
  <c r="S63" i="3"/>
  <c r="R63" i="3"/>
  <c r="P63" i="3"/>
  <c r="O63" i="3"/>
  <c r="N63" i="3"/>
  <c r="E63" i="3"/>
  <c r="D63" i="3"/>
  <c r="T62" i="3"/>
  <c r="S62" i="3"/>
  <c r="R62" i="3"/>
  <c r="P62" i="3"/>
  <c r="O62" i="3"/>
  <c r="N62" i="3"/>
  <c r="E62" i="3"/>
  <c r="D62" i="3"/>
  <c r="T61" i="3"/>
  <c r="S61" i="3"/>
  <c r="R61" i="3"/>
  <c r="P61" i="3"/>
  <c r="O61" i="3"/>
  <c r="N61" i="3"/>
  <c r="E61" i="3"/>
  <c r="D61" i="3"/>
  <c r="T60" i="3"/>
  <c r="S60" i="3"/>
  <c r="R60" i="3"/>
  <c r="P60" i="3"/>
  <c r="O60" i="3"/>
  <c r="N60" i="3"/>
  <c r="E60" i="3"/>
  <c r="D60" i="3"/>
  <c r="T59" i="3"/>
  <c r="S59" i="3"/>
  <c r="R59" i="3"/>
  <c r="P59" i="3"/>
  <c r="O59" i="3"/>
  <c r="N59" i="3"/>
  <c r="E59" i="3"/>
  <c r="D59" i="3"/>
  <c r="T58" i="3"/>
  <c r="S58" i="3"/>
  <c r="R58" i="3"/>
  <c r="P58" i="3"/>
  <c r="O58" i="3"/>
  <c r="N58" i="3"/>
  <c r="E58" i="3"/>
  <c r="D58" i="3"/>
  <c r="T57" i="3"/>
  <c r="S57" i="3"/>
  <c r="R57" i="3"/>
  <c r="P57" i="3"/>
  <c r="O57" i="3"/>
  <c r="N57" i="3"/>
  <c r="E57" i="3"/>
  <c r="D57" i="3"/>
  <c r="T56" i="3"/>
  <c r="S56" i="3"/>
  <c r="R56" i="3"/>
  <c r="P56" i="3"/>
  <c r="O56" i="3"/>
  <c r="N56" i="3"/>
  <c r="E56" i="3"/>
  <c r="D56" i="3"/>
  <c r="T55" i="3"/>
  <c r="S55" i="3"/>
  <c r="R55" i="3"/>
  <c r="P55" i="3"/>
  <c r="O55" i="3"/>
  <c r="N55" i="3"/>
  <c r="E55" i="3"/>
  <c r="D55" i="3"/>
  <c r="T54" i="3"/>
  <c r="S54" i="3"/>
  <c r="R54" i="3"/>
  <c r="P54" i="3"/>
  <c r="O54" i="3"/>
  <c r="N54" i="3"/>
  <c r="E54" i="3"/>
  <c r="D54" i="3"/>
  <c r="T53" i="3"/>
  <c r="S53" i="3"/>
  <c r="R53" i="3"/>
  <c r="P53" i="3"/>
  <c r="O53" i="3"/>
  <c r="N53" i="3"/>
  <c r="E53" i="3"/>
  <c r="D53" i="3"/>
  <c r="T52" i="3"/>
  <c r="S52" i="3"/>
  <c r="R52" i="3"/>
  <c r="P52" i="3"/>
  <c r="O52" i="3"/>
  <c r="N52" i="3"/>
  <c r="E52" i="3"/>
  <c r="D52" i="3"/>
  <c r="T51" i="3"/>
  <c r="S51" i="3"/>
  <c r="R51" i="3"/>
  <c r="P51" i="3"/>
  <c r="O51" i="3"/>
  <c r="N51" i="3"/>
  <c r="E51" i="3"/>
  <c r="D51" i="3"/>
  <c r="T50" i="3"/>
  <c r="S50" i="3"/>
  <c r="R50" i="3"/>
  <c r="P50" i="3"/>
  <c r="O50" i="3"/>
  <c r="N50" i="3"/>
  <c r="E50" i="3"/>
  <c r="D50" i="3"/>
  <c r="T49" i="3"/>
  <c r="S49" i="3"/>
  <c r="R49" i="3"/>
  <c r="P49" i="3"/>
  <c r="O49" i="3"/>
  <c r="N49" i="3"/>
  <c r="E49" i="3"/>
  <c r="D49" i="3"/>
  <c r="T48" i="3"/>
  <c r="S48" i="3"/>
  <c r="R48" i="3"/>
  <c r="P48" i="3"/>
  <c r="O48" i="3"/>
  <c r="N48" i="3"/>
  <c r="E48" i="3"/>
  <c r="D48" i="3"/>
  <c r="T47" i="3"/>
  <c r="S47" i="3"/>
  <c r="R47" i="3"/>
  <c r="P47" i="3"/>
  <c r="O47" i="3"/>
  <c r="N47" i="3"/>
  <c r="E47" i="3"/>
  <c r="D47" i="3"/>
  <c r="T46" i="3"/>
  <c r="S46" i="3"/>
  <c r="R46" i="3"/>
  <c r="P46" i="3"/>
  <c r="O46" i="3"/>
  <c r="N46" i="3"/>
  <c r="E46" i="3"/>
  <c r="D46" i="3"/>
  <c r="T45" i="3"/>
  <c r="S45" i="3"/>
  <c r="R45" i="3"/>
  <c r="P45" i="3"/>
  <c r="O45" i="3"/>
  <c r="N45" i="3"/>
  <c r="E45" i="3"/>
  <c r="D45" i="3"/>
  <c r="T44" i="3"/>
  <c r="S44" i="3"/>
  <c r="R44" i="3"/>
  <c r="P44" i="3"/>
  <c r="O44" i="3"/>
  <c r="N44" i="3"/>
  <c r="E44" i="3"/>
  <c r="D44" i="3"/>
  <c r="T43" i="3"/>
  <c r="S43" i="3"/>
  <c r="R43" i="3"/>
  <c r="P43" i="3"/>
  <c r="O43" i="3"/>
  <c r="E43" i="3"/>
  <c r="D43" i="3"/>
  <c r="T42" i="3"/>
  <c r="S42" i="3"/>
  <c r="R42" i="3"/>
  <c r="P42" i="3"/>
  <c r="O42" i="3"/>
  <c r="N42" i="3"/>
  <c r="E42" i="3"/>
  <c r="D42" i="3"/>
  <c r="T41" i="3"/>
  <c r="S41" i="3"/>
  <c r="R41" i="3"/>
  <c r="P41" i="3"/>
  <c r="O41" i="3"/>
  <c r="N41" i="3"/>
  <c r="E41" i="3"/>
  <c r="D41" i="3"/>
  <c r="T40" i="3"/>
  <c r="S40" i="3"/>
  <c r="R40" i="3"/>
  <c r="P40" i="3"/>
  <c r="O40" i="3"/>
  <c r="N40" i="3"/>
  <c r="I40" i="3"/>
  <c r="E40" i="3"/>
  <c r="D40" i="3"/>
  <c r="T39" i="3"/>
  <c r="S39" i="3"/>
  <c r="R39" i="3"/>
  <c r="P39" i="3"/>
  <c r="O39" i="3"/>
  <c r="N39" i="3"/>
  <c r="I39" i="3"/>
  <c r="E39" i="3"/>
  <c r="D39" i="3"/>
  <c r="T38" i="3"/>
  <c r="S38" i="3"/>
  <c r="R38" i="3"/>
  <c r="P38" i="3"/>
  <c r="O38" i="3"/>
  <c r="N38" i="3"/>
  <c r="I38" i="3"/>
  <c r="E38" i="3"/>
  <c r="D38" i="3"/>
  <c r="T37" i="3"/>
  <c r="S37" i="3"/>
  <c r="R37" i="3"/>
  <c r="P37" i="3"/>
  <c r="O37" i="3"/>
  <c r="N37" i="3"/>
  <c r="I37" i="3"/>
  <c r="E37" i="3"/>
  <c r="D37" i="3"/>
  <c r="T36" i="3"/>
  <c r="S36" i="3"/>
  <c r="R36" i="3"/>
  <c r="P36" i="3"/>
  <c r="O36" i="3"/>
  <c r="N36" i="3"/>
  <c r="E36" i="3"/>
  <c r="D36" i="3"/>
  <c r="T35" i="3"/>
  <c r="S35" i="3"/>
  <c r="R35" i="3"/>
  <c r="P35" i="3"/>
  <c r="O35" i="3"/>
  <c r="N35" i="3"/>
  <c r="E35" i="3"/>
  <c r="D35" i="3"/>
  <c r="T34" i="3"/>
  <c r="S34" i="3"/>
  <c r="R34" i="3"/>
  <c r="P34" i="3"/>
  <c r="O34" i="3"/>
  <c r="N34" i="3"/>
  <c r="E34" i="3"/>
  <c r="D34" i="3"/>
  <c r="T33" i="3"/>
  <c r="S33" i="3"/>
  <c r="R33" i="3"/>
  <c r="P33" i="3"/>
  <c r="O33" i="3"/>
  <c r="N33" i="3"/>
  <c r="E33" i="3"/>
  <c r="D33" i="3"/>
  <c r="T32" i="3"/>
  <c r="S32" i="3"/>
  <c r="R32" i="3"/>
  <c r="P32" i="3"/>
  <c r="O32" i="3"/>
  <c r="N32" i="3"/>
  <c r="E32" i="3"/>
  <c r="D32" i="3"/>
  <c r="T31" i="3"/>
  <c r="S31" i="3"/>
  <c r="R31" i="3"/>
  <c r="P31" i="3"/>
  <c r="O31" i="3"/>
  <c r="N31" i="3"/>
  <c r="E31" i="3"/>
  <c r="D31" i="3"/>
  <c r="T30" i="3"/>
  <c r="S30" i="3"/>
  <c r="R30" i="3"/>
  <c r="P30" i="3"/>
  <c r="O30" i="3"/>
  <c r="N30" i="3"/>
  <c r="E30" i="3"/>
  <c r="D30" i="3"/>
  <c r="T29" i="3"/>
  <c r="S29" i="3"/>
  <c r="R29" i="3"/>
  <c r="P29" i="3"/>
  <c r="O29" i="3"/>
  <c r="N29" i="3"/>
  <c r="E29" i="3"/>
  <c r="D29" i="3"/>
  <c r="T28" i="3"/>
  <c r="S28" i="3"/>
  <c r="R28" i="3"/>
  <c r="P28" i="3"/>
  <c r="O28" i="3"/>
  <c r="N28" i="3"/>
  <c r="E28" i="3"/>
  <c r="D28" i="3"/>
  <c r="T27" i="3"/>
  <c r="S27" i="3"/>
  <c r="R27" i="3"/>
  <c r="P27" i="3"/>
  <c r="O27" i="3"/>
  <c r="N27" i="3"/>
  <c r="E27" i="3"/>
  <c r="D27" i="3"/>
  <c r="T26" i="3"/>
  <c r="S26" i="3"/>
  <c r="R26" i="3"/>
  <c r="P26" i="3"/>
  <c r="O26" i="3"/>
  <c r="N26" i="3"/>
  <c r="E26" i="3"/>
  <c r="D26" i="3"/>
  <c r="T25" i="3"/>
  <c r="S25" i="3"/>
  <c r="R25" i="3"/>
  <c r="P25" i="3"/>
  <c r="O25" i="3"/>
  <c r="N25" i="3"/>
  <c r="E25" i="3"/>
  <c r="D25" i="3"/>
  <c r="T24" i="3"/>
  <c r="S24" i="3"/>
  <c r="R24" i="3"/>
  <c r="P24" i="3"/>
  <c r="O24" i="3"/>
  <c r="N24" i="3"/>
  <c r="E24" i="3"/>
  <c r="D24" i="3"/>
  <c r="T23" i="3"/>
  <c r="S23" i="3"/>
  <c r="R23" i="3"/>
  <c r="P23" i="3"/>
  <c r="O23" i="3"/>
  <c r="N23" i="3"/>
  <c r="E23" i="3"/>
  <c r="D23" i="3"/>
  <c r="T22" i="3"/>
  <c r="S22" i="3"/>
  <c r="R22" i="3"/>
  <c r="P22" i="3"/>
  <c r="O22" i="3"/>
  <c r="N22" i="3"/>
  <c r="E22" i="3"/>
  <c r="D22" i="3"/>
  <c r="T21" i="3"/>
  <c r="S21" i="3"/>
  <c r="R21" i="3"/>
  <c r="P21" i="3"/>
  <c r="O21" i="3"/>
  <c r="N21" i="3"/>
  <c r="E21" i="3"/>
  <c r="D21" i="3"/>
  <c r="T20" i="3"/>
  <c r="S20" i="3"/>
  <c r="R20" i="3"/>
  <c r="P20" i="3"/>
  <c r="O20" i="3"/>
  <c r="N20" i="3"/>
  <c r="E20" i="3"/>
  <c r="D20" i="3"/>
  <c r="T19" i="3"/>
  <c r="S19" i="3"/>
  <c r="R19" i="3"/>
  <c r="P19" i="3"/>
  <c r="O19" i="3"/>
  <c r="N19" i="3"/>
  <c r="E19" i="3"/>
  <c r="D19" i="3"/>
  <c r="T18" i="3"/>
  <c r="S18" i="3"/>
  <c r="R18" i="3"/>
  <c r="P18" i="3"/>
  <c r="O18" i="3"/>
  <c r="N18" i="3"/>
  <c r="E18" i="3"/>
  <c r="D18" i="3"/>
  <c r="T17" i="3"/>
  <c r="S17" i="3"/>
  <c r="R17" i="3"/>
  <c r="P17" i="3"/>
  <c r="O17" i="3"/>
  <c r="N17" i="3"/>
  <c r="E17" i="3"/>
  <c r="D17" i="3"/>
  <c r="T16" i="3"/>
  <c r="S16" i="3"/>
  <c r="R16" i="3"/>
  <c r="P16" i="3"/>
  <c r="O16" i="3"/>
  <c r="N16" i="3"/>
  <c r="E16" i="3"/>
  <c r="D16" i="3"/>
  <c r="T15" i="3"/>
  <c r="S15" i="3"/>
  <c r="R15" i="3"/>
  <c r="P15" i="3"/>
  <c r="O15" i="3"/>
  <c r="N15" i="3"/>
  <c r="E15" i="3"/>
  <c r="D15" i="3"/>
  <c r="T14" i="3"/>
  <c r="S14" i="3"/>
  <c r="R14" i="3"/>
  <c r="P14" i="3"/>
  <c r="O14" i="3"/>
  <c r="N14" i="3"/>
  <c r="E14" i="3"/>
  <c r="D14" i="3"/>
  <c r="T13" i="3"/>
  <c r="S13" i="3"/>
  <c r="R13" i="3"/>
  <c r="P13" i="3"/>
  <c r="O13" i="3"/>
  <c r="N13" i="3"/>
  <c r="E13" i="3"/>
  <c r="D13" i="3"/>
  <c r="T12" i="3"/>
  <c r="S12" i="3"/>
  <c r="R12" i="3"/>
  <c r="P12" i="3"/>
  <c r="O12" i="3"/>
  <c r="N12" i="3"/>
  <c r="E12" i="3"/>
  <c r="D12" i="3"/>
  <c r="T11" i="3"/>
  <c r="S11" i="3"/>
  <c r="R11" i="3"/>
  <c r="P11" i="3"/>
  <c r="O11" i="3"/>
  <c r="N11" i="3"/>
  <c r="E11" i="3"/>
  <c r="D11" i="3"/>
  <c r="T10" i="3"/>
  <c r="S10" i="3"/>
  <c r="R10" i="3"/>
  <c r="P10" i="3"/>
  <c r="O10" i="3"/>
  <c r="N10" i="3"/>
  <c r="E10" i="3"/>
  <c r="D10" i="3"/>
  <c r="T9" i="3"/>
  <c r="S9" i="3"/>
  <c r="R9" i="3"/>
  <c r="P9" i="3"/>
  <c r="O9" i="3"/>
  <c r="N9" i="3"/>
  <c r="E9" i="3"/>
  <c r="D9" i="3"/>
  <c r="T8" i="3"/>
  <c r="S8" i="3"/>
  <c r="R8" i="3"/>
  <c r="P8" i="3"/>
  <c r="O8" i="3"/>
  <c r="N8" i="3"/>
  <c r="E8" i="3"/>
  <c r="D8" i="3"/>
  <c r="T7" i="3"/>
  <c r="S7" i="3"/>
  <c r="R7" i="3"/>
  <c r="P7" i="3"/>
  <c r="O7" i="3"/>
  <c r="N7" i="3"/>
  <c r="E7" i="3"/>
  <c r="D7" i="3"/>
  <c r="T6" i="3"/>
  <c r="S6" i="3"/>
  <c r="R6" i="3"/>
  <c r="P6" i="3"/>
  <c r="O6" i="3"/>
  <c r="N6" i="3"/>
  <c r="E6" i="3"/>
  <c r="D6" i="3"/>
  <c r="T5" i="3"/>
  <c r="S5" i="3"/>
  <c r="R5" i="3"/>
  <c r="P5" i="3"/>
  <c r="O5" i="3"/>
  <c r="N5" i="3"/>
  <c r="E5" i="3"/>
  <c r="D5" i="3"/>
  <c r="T4" i="3"/>
  <c r="S4" i="3"/>
  <c r="R4" i="3"/>
  <c r="P4" i="3"/>
  <c r="O4" i="3"/>
  <c r="N4" i="3"/>
  <c r="E4" i="3"/>
  <c r="D4" i="3"/>
  <c r="T3" i="3"/>
  <c r="S3" i="3"/>
  <c r="R3" i="3"/>
  <c r="N3" i="3"/>
  <c r="E3" i="3"/>
  <c r="D3" i="3"/>
  <c r="G98" i="1"/>
  <c r="F98" i="1"/>
  <c r="E98" i="1"/>
  <c r="P95" i="1"/>
  <c r="O95" i="1"/>
  <c r="N95" i="1"/>
  <c r="E95" i="1"/>
  <c r="D95" i="1"/>
  <c r="N94" i="1"/>
  <c r="P94" i="1" s="1"/>
  <c r="O94" i="1" s="1"/>
  <c r="E94" i="1"/>
  <c r="D94" i="1"/>
  <c r="P93" i="1"/>
  <c r="O93" i="1"/>
  <c r="N93" i="1"/>
  <c r="E93" i="1"/>
  <c r="D93" i="1"/>
  <c r="P92" i="1"/>
  <c r="O92" i="1"/>
  <c r="N92" i="1"/>
  <c r="E92" i="1"/>
  <c r="D92" i="1"/>
  <c r="P91" i="1"/>
  <c r="O91" i="1"/>
  <c r="N91" i="1"/>
  <c r="E91" i="1"/>
  <c r="D91" i="1"/>
  <c r="P90" i="1"/>
  <c r="O90" i="1"/>
  <c r="N90" i="1"/>
  <c r="E90" i="1"/>
  <c r="D90" i="1"/>
  <c r="P89" i="1"/>
  <c r="O89" i="1"/>
  <c r="N89" i="1"/>
  <c r="E89" i="1"/>
  <c r="D89" i="1"/>
  <c r="N88" i="1"/>
  <c r="P88" i="1" s="1"/>
  <c r="E88" i="1"/>
  <c r="D88" i="1"/>
  <c r="S87" i="1"/>
  <c r="R87" i="1"/>
  <c r="P87" i="1"/>
  <c r="O87" i="1"/>
  <c r="N87" i="1"/>
  <c r="E87" i="1"/>
  <c r="D87" i="1"/>
  <c r="S86" i="1"/>
  <c r="R86" i="1"/>
  <c r="P86" i="1"/>
  <c r="O86" i="1"/>
  <c r="N86" i="1"/>
  <c r="E86" i="1"/>
  <c r="D86" i="1"/>
  <c r="S85" i="1"/>
  <c r="R85" i="1"/>
  <c r="P85" i="1"/>
  <c r="O85" i="1"/>
  <c r="N85" i="1"/>
  <c r="E85" i="1"/>
  <c r="D85" i="1"/>
  <c r="S84" i="1"/>
  <c r="R84" i="1"/>
  <c r="P84" i="1"/>
  <c r="O84" i="1"/>
  <c r="N84" i="1"/>
  <c r="E84" i="1"/>
  <c r="D84" i="1"/>
  <c r="S83" i="1"/>
  <c r="R83" i="1"/>
  <c r="P83" i="1"/>
  <c r="O83" i="1"/>
  <c r="N83" i="1"/>
  <c r="E83" i="1"/>
  <c r="D83" i="1"/>
  <c r="S82" i="1"/>
  <c r="R82" i="1"/>
  <c r="P82" i="1"/>
  <c r="O82" i="1"/>
  <c r="N82" i="1"/>
  <c r="E82" i="1"/>
  <c r="D82" i="1"/>
  <c r="S81" i="1"/>
  <c r="R81" i="1"/>
  <c r="P81" i="1"/>
  <c r="O81" i="1"/>
  <c r="N81" i="1"/>
  <c r="E81" i="1"/>
  <c r="D81" i="1"/>
  <c r="S80" i="1"/>
  <c r="R80" i="1"/>
  <c r="P80" i="1"/>
  <c r="O80" i="1"/>
  <c r="N80" i="1"/>
  <c r="E80" i="1"/>
  <c r="D80" i="1"/>
  <c r="S79" i="1"/>
  <c r="R79" i="1"/>
  <c r="P79" i="1"/>
  <c r="O79" i="1"/>
  <c r="N79" i="1"/>
  <c r="E79" i="1"/>
  <c r="D79" i="1"/>
  <c r="S78" i="1"/>
  <c r="R78" i="1"/>
  <c r="P78" i="1"/>
  <c r="O78" i="1"/>
  <c r="N78" i="1"/>
  <c r="E78" i="1"/>
  <c r="D78" i="1"/>
  <c r="S77" i="1"/>
  <c r="R77" i="1"/>
  <c r="P77" i="1"/>
  <c r="O77" i="1"/>
  <c r="N77" i="1"/>
  <c r="E77" i="1"/>
  <c r="D77" i="1"/>
  <c r="S76" i="1"/>
  <c r="R76" i="1"/>
  <c r="P76" i="1"/>
  <c r="O76" i="1"/>
  <c r="N76" i="1"/>
  <c r="E76" i="1"/>
  <c r="D76" i="1"/>
  <c r="S75" i="1"/>
  <c r="R75" i="1"/>
  <c r="P75" i="1"/>
  <c r="O75" i="1"/>
  <c r="N75" i="1"/>
  <c r="E75" i="1"/>
  <c r="D75" i="1"/>
  <c r="S74" i="1"/>
  <c r="R74" i="1"/>
  <c r="P74" i="1"/>
  <c r="O74" i="1"/>
  <c r="N74" i="1"/>
  <c r="E74" i="1"/>
  <c r="D74" i="1"/>
  <c r="S73" i="1"/>
  <c r="R73" i="1"/>
  <c r="P73" i="1"/>
  <c r="O73" i="1"/>
  <c r="N73" i="1"/>
  <c r="E73" i="1"/>
  <c r="D73" i="1"/>
  <c r="S72" i="1"/>
  <c r="R72" i="1"/>
  <c r="P72" i="1"/>
  <c r="O72" i="1"/>
  <c r="N72" i="1"/>
  <c r="E72" i="1"/>
  <c r="D72" i="1"/>
  <c r="S71" i="1"/>
  <c r="R71" i="1"/>
  <c r="P71" i="1"/>
  <c r="O71" i="1"/>
  <c r="N71" i="1"/>
  <c r="E71" i="1"/>
  <c r="D71" i="1"/>
  <c r="S70" i="1"/>
  <c r="R70" i="1"/>
  <c r="P70" i="1"/>
  <c r="O70" i="1"/>
  <c r="N70" i="1"/>
  <c r="E70" i="1"/>
  <c r="D70" i="1"/>
  <c r="S69" i="1"/>
  <c r="R69" i="1"/>
  <c r="P69" i="1"/>
  <c r="O69" i="1"/>
  <c r="N69" i="1"/>
  <c r="E69" i="1"/>
  <c r="D69" i="1"/>
  <c r="S68" i="1"/>
  <c r="R68" i="1"/>
  <c r="P68" i="1"/>
  <c r="O68" i="1"/>
  <c r="N68" i="1"/>
  <c r="E68" i="1"/>
  <c r="D68" i="1"/>
  <c r="S67" i="1"/>
  <c r="R67" i="1"/>
  <c r="P67" i="1"/>
  <c r="O67" i="1"/>
  <c r="N67" i="1"/>
  <c r="E67" i="1"/>
  <c r="D67" i="1"/>
  <c r="S66" i="1"/>
  <c r="R66" i="1"/>
  <c r="P66" i="1"/>
  <c r="O66" i="1"/>
  <c r="N66" i="1"/>
  <c r="E66" i="1"/>
  <c r="D66" i="1"/>
  <c r="S65" i="1"/>
  <c r="R65" i="1"/>
  <c r="P65" i="1"/>
  <c r="O65" i="1"/>
  <c r="N65" i="1"/>
  <c r="E65" i="1"/>
  <c r="D65" i="1"/>
  <c r="S64" i="1"/>
  <c r="R64" i="1"/>
  <c r="P64" i="1"/>
  <c r="O64" i="1"/>
  <c r="N64" i="1"/>
  <c r="E64" i="1"/>
  <c r="D64" i="1"/>
  <c r="S63" i="1"/>
  <c r="R63" i="1"/>
  <c r="P63" i="1"/>
  <c r="O63" i="1"/>
  <c r="N63" i="1"/>
  <c r="E63" i="1"/>
  <c r="D63" i="1"/>
  <c r="S62" i="1"/>
  <c r="R62" i="1"/>
  <c r="P62" i="1"/>
  <c r="O62" i="1"/>
  <c r="N62" i="1"/>
  <c r="E62" i="1"/>
  <c r="D62" i="1"/>
  <c r="S61" i="1"/>
  <c r="R61" i="1"/>
  <c r="P61" i="1"/>
  <c r="O61" i="1"/>
  <c r="N61" i="1"/>
  <c r="E61" i="1"/>
  <c r="D61" i="1"/>
  <c r="S60" i="1"/>
  <c r="R60" i="1"/>
  <c r="P60" i="1"/>
  <c r="O60" i="1"/>
  <c r="N60" i="1"/>
  <c r="E60" i="1"/>
  <c r="D60" i="1"/>
  <c r="S59" i="1"/>
  <c r="R59" i="1"/>
  <c r="P59" i="1"/>
  <c r="O59" i="1"/>
  <c r="N59" i="1"/>
  <c r="E59" i="1"/>
  <c r="D59" i="1"/>
  <c r="S58" i="1"/>
  <c r="R58" i="1"/>
  <c r="P58" i="1"/>
  <c r="O58" i="1"/>
  <c r="N58" i="1"/>
  <c r="E58" i="1"/>
  <c r="D58" i="1"/>
  <c r="S57" i="1"/>
  <c r="R57" i="1"/>
  <c r="P57" i="1"/>
  <c r="O57" i="1"/>
  <c r="N57" i="1"/>
  <c r="E57" i="1"/>
  <c r="D57" i="1"/>
  <c r="S56" i="1"/>
  <c r="R56" i="1"/>
  <c r="P56" i="1"/>
  <c r="O56" i="1"/>
  <c r="N56" i="1"/>
  <c r="E56" i="1"/>
  <c r="D56" i="1"/>
  <c r="S55" i="1"/>
  <c r="R55" i="1"/>
  <c r="P55" i="1"/>
  <c r="O55" i="1"/>
  <c r="N55" i="1"/>
  <c r="E55" i="1"/>
  <c r="D55" i="1"/>
  <c r="S54" i="1"/>
  <c r="R54" i="1"/>
  <c r="P54" i="1"/>
  <c r="O54" i="1"/>
  <c r="N54" i="1"/>
  <c r="E54" i="1"/>
  <c r="D54" i="1"/>
  <c r="S53" i="1"/>
  <c r="R53" i="1"/>
  <c r="P53" i="1"/>
  <c r="O53" i="1"/>
  <c r="N53" i="1"/>
  <c r="E53" i="1"/>
  <c r="D53" i="1"/>
  <c r="S52" i="1"/>
  <c r="R52" i="1"/>
  <c r="P52" i="1"/>
  <c r="O52" i="1"/>
  <c r="N52" i="1"/>
  <c r="E52" i="1"/>
  <c r="D52" i="1"/>
  <c r="S51" i="1"/>
  <c r="R51" i="1"/>
  <c r="P51" i="1"/>
  <c r="O51" i="1"/>
  <c r="N51" i="1"/>
  <c r="E51" i="1"/>
  <c r="D51" i="1"/>
  <c r="S50" i="1"/>
  <c r="R50" i="1"/>
  <c r="P50" i="1"/>
  <c r="O50" i="1"/>
  <c r="N50" i="1"/>
  <c r="E50" i="1"/>
  <c r="D50" i="1"/>
  <c r="S49" i="1"/>
  <c r="R49" i="1"/>
  <c r="P49" i="1"/>
  <c r="O49" i="1"/>
  <c r="N49" i="1"/>
  <c r="E49" i="1"/>
  <c r="D49" i="1"/>
  <c r="S48" i="1"/>
  <c r="R48" i="1"/>
  <c r="P48" i="1"/>
  <c r="O48" i="1"/>
  <c r="N48" i="1"/>
  <c r="E48" i="1"/>
  <c r="D48" i="1"/>
  <c r="S47" i="1"/>
  <c r="R47" i="1"/>
  <c r="P47" i="1"/>
  <c r="O47" i="1"/>
  <c r="N47" i="1"/>
  <c r="E47" i="1"/>
  <c r="D47" i="1"/>
  <c r="S46" i="1"/>
  <c r="R46" i="1"/>
  <c r="P46" i="1"/>
  <c r="O46" i="1"/>
  <c r="N46" i="1"/>
  <c r="E46" i="1"/>
  <c r="D46" i="1"/>
  <c r="S45" i="1"/>
  <c r="R45" i="1"/>
  <c r="P45" i="1"/>
  <c r="O45" i="1"/>
  <c r="N45" i="1"/>
  <c r="E45" i="1"/>
  <c r="D45" i="1"/>
  <c r="S44" i="1"/>
  <c r="R44" i="1"/>
  <c r="P44" i="1"/>
  <c r="O44" i="1"/>
  <c r="N44" i="1"/>
  <c r="E44" i="1"/>
  <c r="D44" i="1"/>
  <c r="S43" i="1"/>
  <c r="R43" i="1"/>
  <c r="P43" i="1"/>
  <c r="O43" i="1"/>
  <c r="N43" i="1"/>
  <c r="E43" i="1"/>
  <c r="D43" i="1"/>
  <c r="S42" i="1"/>
  <c r="R42" i="1"/>
  <c r="P42" i="1"/>
  <c r="O42" i="1"/>
  <c r="N42" i="1"/>
  <c r="E42" i="1"/>
  <c r="D42" i="1"/>
  <c r="S41" i="1"/>
  <c r="R41" i="1"/>
  <c r="P41" i="1"/>
  <c r="O41" i="1"/>
  <c r="N41" i="1"/>
  <c r="E41" i="1"/>
  <c r="D41" i="1"/>
  <c r="S40" i="1"/>
  <c r="R40" i="1"/>
  <c r="P40" i="1"/>
  <c r="O40" i="1"/>
  <c r="N40" i="1"/>
  <c r="E40" i="1"/>
  <c r="D40" i="1"/>
  <c r="S39" i="1"/>
  <c r="R39" i="1"/>
  <c r="P39" i="1"/>
  <c r="O39" i="1"/>
  <c r="N39" i="1"/>
  <c r="E39" i="1"/>
  <c r="D39" i="1"/>
  <c r="S38" i="1"/>
  <c r="R38" i="1"/>
  <c r="P38" i="1"/>
  <c r="O38" i="1"/>
  <c r="N38" i="1"/>
  <c r="E38" i="1"/>
  <c r="D38" i="1"/>
  <c r="S37" i="1"/>
  <c r="R37" i="1"/>
  <c r="P37" i="1"/>
  <c r="O37" i="1"/>
  <c r="N37" i="1"/>
  <c r="E37" i="1"/>
  <c r="D37" i="1"/>
  <c r="S36" i="1"/>
  <c r="R36" i="1"/>
  <c r="P36" i="1"/>
  <c r="O36" i="1"/>
  <c r="N36" i="1"/>
  <c r="E36" i="1"/>
  <c r="D36" i="1"/>
  <c r="S35" i="1"/>
  <c r="R35" i="1"/>
  <c r="P35" i="1"/>
  <c r="O35" i="1"/>
  <c r="N35" i="1"/>
  <c r="E35" i="1"/>
  <c r="D35" i="1"/>
  <c r="S34" i="1"/>
  <c r="R34" i="1"/>
  <c r="P34" i="1"/>
  <c r="O34" i="1"/>
  <c r="N34" i="1"/>
  <c r="E34" i="1"/>
  <c r="D34" i="1"/>
  <c r="S33" i="1"/>
  <c r="R33" i="1"/>
  <c r="P33" i="1"/>
  <c r="O33" i="1"/>
  <c r="N33" i="1"/>
  <c r="E33" i="1"/>
  <c r="D33" i="1"/>
  <c r="S32" i="1"/>
  <c r="R32" i="1"/>
  <c r="P32" i="1"/>
  <c r="O32" i="1"/>
  <c r="N32" i="1"/>
  <c r="E32" i="1"/>
  <c r="D32" i="1"/>
  <c r="S31" i="1"/>
  <c r="R31" i="1"/>
  <c r="P31" i="1"/>
  <c r="O31" i="1"/>
  <c r="N31" i="1"/>
  <c r="E31" i="1"/>
  <c r="D31" i="1"/>
  <c r="S30" i="1"/>
  <c r="R30" i="1"/>
  <c r="P30" i="1"/>
  <c r="O30" i="1"/>
  <c r="N30" i="1"/>
  <c r="E30" i="1"/>
  <c r="D30" i="1"/>
  <c r="S29" i="1"/>
  <c r="R29" i="1"/>
  <c r="P29" i="1"/>
  <c r="O29" i="1"/>
  <c r="N29" i="1"/>
  <c r="E29" i="1"/>
  <c r="D29" i="1"/>
  <c r="S28" i="1"/>
  <c r="R28" i="1"/>
  <c r="P28" i="1"/>
  <c r="O28" i="1"/>
  <c r="N28" i="1"/>
  <c r="E28" i="1"/>
  <c r="D28" i="1"/>
  <c r="S27" i="1"/>
  <c r="R27" i="1"/>
  <c r="P27" i="1"/>
  <c r="O27" i="1"/>
  <c r="N27" i="1"/>
  <c r="E27" i="1"/>
  <c r="D27" i="1"/>
  <c r="S26" i="1"/>
  <c r="R26" i="1"/>
  <c r="P26" i="1"/>
  <c r="O26" i="1"/>
  <c r="N26" i="1"/>
  <c r="E26" i="1"/>
  <c r="D26" i="1"/>
  <c r="S25" i="1"/>
  <c r="R25" i="1"/>
  <c r="P25" i="1"/>
  <c r="O25" i="1"/>
  <c r="N25" i="1"/>
  <c r="E25" i="1"/>
  <c r="D25" i="1"/>
  <c r="S24" i="1"/>
  <c r="R24" i="1"/>
  <c r="P24" i="1"/>
  <c r="O24" i="1"/>
  <c r="N24" i="1"/>
  <c r="E24" i="1"/>
  <c r="D24" i="1"/>
  <c r="S23" i="1"/>
  <c r="R23" i="1"/>
  <c r="P23" i="1"/>
  <c r="O23" i="1"/>
  <c r="N23" i="1"/>
  <c r="E23" i="1"/>
  <c r="D23" i="1"/>
  <c r="S22" i="1"/>
  <c r="R22" i="1"/>
  <c r="P22" i="1"/>
  <c r="O22" i="1"/>
  <c r="N22" i="1"/>
  <c r="E22" i="1"/>
  <c r="D22" i="1"/>
  <c r="S21" i="1"/>
  <c r="R21" i="1"/>
  <c r="P21" i="1"/>
  <c r="O21" i="1"/>
  <c r="N21" i="1"/>
  <c r="E21" i="1"/>
  <c r="D21" i="1"/>
  <c r="S20" i="1"/>
  <c r="R20" i="1"/>
  <c r="P20" i="1"/>
  <c r="O20" i="1"/>
  <c r="N20" i="1"/>
  <c r="E20" i="1"/>
  <c r="D20" i="1"/>
  <c r="S19" i="1"/>
  <c r="R19" i="1"/>
  <c r="P19" i="1"/>
  <c r="O19" i="1"/>
  <c r="N19" i="1"/>
  <c r="E19" i="1"/>
  <c r="D19" i="1"/>
  <c r="S18" i="1"/>
  <c r="R18" i="1"/>
  <c r="P18" i="1"/>
  <c r="O18" i="1"/>
  <c r="N18" i="1"/>
  <c r="E18" i="1"/>
  <c r="D18" i="1"/>
  <c r="S17" i="1"/>
  <c r="R17" i="1"/>
  <c r="P17" i="1"/>
  <c r="O17" i="1"/>
  <c r="N17" i="1"/>
  <c r="E17" i="1"/>
  <c r="D17" i="1"/>
  <c r="S16" i="1"/>
  <c r="R16" i="1"/>
  <c r="P16" i="1"/>
  <c r="O16" i="1"/>
  <c r="N16" i="1"/>
  <c r="E16" i="1"/>
  <c r="D16" i="1"/>
  <c r="S15" i="1"/>
  <c r="R15" i="1"/>
  <c r="P15" i="1"/>
  <c r="O15" i="1"/>
  <c r="N15" i="1"/>
  <c r="E15" i="1"/>
  <c r="D15" i="1"/>
  <c r="S14" i="1"/>
  <c r="R14" i="1"/>
  <c r="P14" i="1"/>
  <c r="O14" i="1"/>
  <c r="N14" i="1"/>
  <c r="E14" i="1"/>
  <c r="D14" i="1"/>
  <c r="S13" i="1"/>
  <c r="R13" i="1"/>
  <c r="P13" i="1"/>
  <c r="O13" i="1"/>
  <c r="N13" i="1"/>
  <c r="E13" i="1"/>
  <c r="D13" i="1"/>
  <c r="S12" i="1"/>
  <c r="R12" i="1"/>
  <c r="P12" i="1"/>
  <c r="O12" i="1"/>
  <c r="N12" i="1"/>
  <c r="E12" i="1"/>
  <c r="D12" i="1"/>
  <c r="S11" i="1"/>
  <c r="R11" i="1"/>
  <c r="P11" i="1"/>
  <c r="O11" i="1"/>
  <c r="N11" i="1"/>
  <c r="E11" i="1"/>
  <c r="D11" i="1"/>
  <c r="S10" i="1"/>
  <c r="R10" i="1"/>
  <c r="P10" i="1"/>
  <c r="O10" i="1"/>
  <c r="N10" i="1"/>
  <c r="E10" i="1"/>
  <c r="D10" i="1"/>
  <c r="S9" i="1"/>
  <c r="R9" i="1"/>
  <c r="P9" i="1"/>
  <c r="O9" i="1"/>
  <c r="N9" i="1"/>
  <c r="E9" i="1"/>
  <c r="D9" i="1"/>
  <c r="S8" i="1"/>
  <c r="R8" i="1"/>
  <c r="P8" i="1"/>
  <c r="O8" i="1"/>
  <c r="N8" i="1"/>
  <c r="E8" i="1"/>
  <c r="D8" i="1"/>
  <c r="S7" i="1"/>
  <c r="R7" i="1"/>
  <c r="P7" i="1"/>
  <c r="O7" i="1"/>
  <c r="N7" i="1"/>
  <c r="E7" i="1"/>
  <c r="D7" i="1"/>
  <c r="S6" i="1"/>
  <c r="R6" i="1"/>
  <c r="P6" i="1"/>
  <c r="O6" i="1"/>
  <c r="N6" i="1"/>
  <c r="E6" i="1"/>
  <c r="D6" i="1"/>
  <c r="S5" i="1"/>
  <c r="R5" i="1"/>
  <c r="P5" i="1"/>
  <c r="O5" i="1"/>
  <c r="N5" i="1"/>
  <c r="E5" i="1"/>
  <c r="D5" i="1"/>
  <c r="S4" i="1"/>
  <c r="R4" i="1"/>
  <c r="P4" i="1"/>
  <c r="O4" i="1"/>
  <c r="N4" i="1"/>
  <c r="E4" i="1"/>
  <c r="D4" i="1"/>
  <c r="S3" i="1"/>
  <c r="R3" i="1"/>
  <c r="N3" i="1"/>
  <c r="E3" i="1"/>
  <c r="D3" i="1"/>
  <c r="O88" i="1" l="1"/>
  <c r="U98" i="1"/>
  <c r="R88" i="1"/>
  <c r="R89" i="1" l="1"/>
  <c r="S88" i="1"/>
  <c r="R90" i="1" l="1"/>
  <c r="S89" i="1"/>
  <c r="S90" i="1" l="1"/>
  <c r="R91" i="1"/>
  <c r="S91" i="1" l="1"/>
  <c r="R92" i="1"/>
  <c r="R93" i="1" l="1"/>
  <c r="S92" i="1"/>
  <c r="R94" i="1" l="1"/>
  <c r="S93" i="1"/>
  <c r="S94" i="1" l="1"/>
  <c r="R95" i="1"/>
  <c r="S95" i="1" l="1"/>
  <c r="S98" i="1" s="1"/>
  <c r="T98" i="1"/>
</calcChain>
</file>

<file path=xl/sharedStrings.xml><?xml version="1.0" encoding="utf-8"?>
<sst xmlns="http://schemas.openxmlformats.org/spreadsheetml/2006/main" count="2155" uniqueCount="713">
  <si>
    <t>Cement</t>
  </si>
  <si>
    <t>Price</t>
  </si>
  <si>
    <t>ROP</t>
  </si>
  <si>
    <t>Stock</t>
  </si>
  <si>
    <t>Day Cost</t>
  </si>
  <si>
    <t>P</t>
  </si>
  <si>
    <t>D</t>
  </si>
  <si>
    <t>Purchases</t>
  </si>
  <si>
    <t>Holding</t>
  </si>
  <si>
    <t>Total</t>
  </si>
  <si>
    <t>Holding Cost/ pc</t>
  </si>
  <si>
    <t>Prices</t>
  </si>
  <si>
    <t>B4</t>
  </si>
  <si>
    <t>Sum</t>
  </si>
  <si>
    <t>Quantity</t>
  </si>
  <si>
    <t>Bin Sum</t>
  </si>
  <si>
    <t>Lookup Value</t>
  </si>
  <si>
    <t>Consumption</t>
  </si>
  <si>
    <t>Microsoft Excel 15.0 Answer Report</t>
  </si>
  <si>
    <t>Worksheet: [Book2 (Autosaved) (Recovered) (Recovered).xlsm]Cement</t>
  </si>
  <si>
    <t>Report Created: 5/10/2013 7:05:40 PM</t>
  </si>
  <si>
    <t>Result: Solver cannot improve the current solution.  All Constraints are satisfied.</t>
  </si>
  <si>
    <t>Solver Engine</t>
  </si>
  <si>
    <t>Engine: Evolutionary</t>
  </si>
  <si>
    <t>Solution Time: 83.18 Seconds.</t>
  </si>
  <si>
    <t>Iterations: 0 Subproblems: 2979</t>
  </si>
  <si>
    <t>Solver Options</t>
  </si>
  <si>
    <t>Max Time Unlimited,  Iterations Unlimited, Precision 0.000001</t>
  </si>
  <si>
    <t xml:space="preserve"> Convergence 0.0001, Population Size 100, Random Seed 0, Mutation Rate 0.075, Time w/o Improve 30 sec</t>
  </si>
  <si>
    <t>Max Subproblems Unlimited, Max Integer Sols Unlimited, Integer Tolerance 1%, Assume NonNegative</t>
  </si>
  <si>
    <t>Objective Cell (Min)</t>
  </si>
  <si>
    <t>Cell</t>
  </si>
  <si>
    <t>Name</t>
  </si>
  <si>
    <t>Original Value</t>
  </si>
  <si>
    <t>Final Value</t>
  </si>
  <si>
    <t>Variable Cells</t>
  </si>
  <si>
    <t>Integer</t>
  </si>
  <si>
    <t>Constraints</t>
  </si>
  <si>
    <t>Cell Value</t>
  </si>
  <si>
    <t>Formula</t>
  </si>
  <si>
    <t>Status</t>
  </si>
  <si>
    <t>Slack</t>
  </si>
  <si>
    <t>$V$98</t>
  </si>
  <si>
    <t>$P$3</t>
  </si>
  <si>
    <t>$P$4</t>
  </si>
  <si>
    <t>$P$5</t>
  </si>
  <si>
    <t>$P$6</t>
  </si>
  <si>
    <t>$P$7</t>
  </si>
  <si>
    <t>$P$8</t>
  </si>
  <si>
    <t>$P$9</t>
  </si>
  <si>
    <t>$P$10</t>
  </si>
  <si>
    <t>$P$11</t>
  </si>
  <si>
    <t>$P$12</t>
  </si>
  <si>
    <t>$P$13</t>
  </si>
  <si>
    <t>$P$14</t>
  </si>
  <si>
    <t>$P$15</t>
  </si>
  <si>
    <t>$P$16</t>
  </si>
  <si>
    <t>$P$17</t>
  </si>
  <si>
    <t>$P$18</t>
  </si>
  <si>
    <t>$P$19</t>
  </si>
  <si>
    <t>$P$20</t>
  </si>
  <si>
    <t>$P$21</t>
  </si>
  <si>
    <t>$P$22</t>
  </si>
  <si>
    <t>$P$23</t>
  </si>
  <si>
    <t>$P$24</t>
  </si>
  <si>
    <t>$P$25</t>
  </si>
  <si>
    <t>$P$26</t>
  </si>
  <si>
    <t>P B4</t>
  </si>
  <si>
    <t>$P$27</t>
  </si>
  <si>
    <t>$P$28</t>
  </si>
  <si>
    <t>$P$29</t>
  </si>
  <si>
    <t>$P$30</t>
  </si>
  <si>
    <t>$P$31</t>
  </si>
  <si>
    <t>$P$32</t>
  </si>
  <si>
    <t>$P$33</t>
  </si>
  <si>
    <t>$P$34</t>
  </si>
  <si>
    <t>$P$35</t>
  </si>
  <si>
    <t>Lookup Value B4</t>
  </si>
  <si>
    <t>$P$36</t>
  </si>
  <si>
    <t>$P$37</t>
  </si>
  <si>
    <t>$P$38</t>
  </si>
  <si>
    <t>$P$39</t>
  </si>
  <si>
    <t>$P$40</t>
  </si>
  <si>
    <t>$P$41</t>
  </si>
  <si>
    <t>$P$42</t>
  </si>
  <si>
    <t>$P$43</t>
  </si>
  <si>
    <t>$P$44</t>
  </si>
  <si>
    <t>$P$45</t>
  </si>
  <si>
    <t>$P$46</t>
  </si>
  <si>
    <t>$P$47</t>
  </si>
  <si>
    <t>$P$48</t>
  </si>
  <si>
    <t>$P$49</t>
  </si>
  <si>
    <t>$P$50</t>
  </si>
  <si>
    <t>$P$51</t>
  </si>
  <si>
    <t>$P$52</t>
  </si>
  <si>
    <t>$P$53</t>
  </si>
  <si>
    <t>$P$54</t>
  </si>
  <si>
    <t>$P$55</t>
  </si>
  <si>
    <t>$P$56</t>
  </si>
  <si>
    <t>$P$57</t>
  </si>
  <si>
    <t>$P$58</t>
  </si>
  <si>
    <t>$P$59</t>
  </si>
  <si>
    <t>$P$60</t>
  </si>
  <si>
    <t>$P$61</t>
  </si>
  <si>
    <t>$P$62</t>
  </si>
  <si>
    <t>$P$63</t>
  </si>
  <si>
    <t>$P$64</t>
  </si>
  <si>
    <t>$P$65</t>
  </si>
  <si>
    <t>$P$66</t>
  </si>
  <si>
    <t>$P$67</t>
  </si>
  <si>
    <t>$P$68</t>
  </si>
  <si>
    <t>$P$69</t>
  </si>
  <si>
    <t>$P$70</t>
  </si>
  <si>
    <t>$P$71</t>
  </si>
  <si>
    <t>$P$72</t>
  </si>
  <si>
    <t>$P$73</t>
  </si>
  <si>
    <t>$P$74</t>
  </si>
  <si>
    <t>$P$75</t>
  </si>
  <si>
    <t>$P$76</t>
  </si>
  <si>
    <t>$P$77</t>
  </si>
  <si>
    <t>$P$78</t>
  </si>
  <si>
    <t>$P$79</t>
  </si>
  <si>
    <t>$P$80</t>
  </si>
  <si>
    <t>$P$81</t>
  </si>
  <si>
    <t>$P$82</t>
  </si>
  <si>
    <t>$P$83</t>
  </si>
  <si>
    <t>$P$84</t>
  </si>
  <si>
    <t>$P$85</t>
  </si>
  <si>
    <t>$P$86</t>
  </si>
  <si>
    <t>$P$87</t>
  </si>
  <si>
    <t>$P$88</t>
  </si>
  <si>
    <t>$P$89</t>
  </si>
  <si>
    <t>$P$90</t>
  </si>
  <si>
    <t>$P$91</t>
  </si>
  <si>
    <t>$P$92</t>
  </si>
  <si>
    <t>$P$93</t>
  </si>
  <si>
    <t>$P$94</t>
  </si>
  <si>
    <t>$P$95</t>
  </si>
  <si>
    <t>$U$3</t>
  </si>
  <si>
    <t>$U$3&gt;=$T$1</t>
  </si>
  <si>
    <t>Not Binding</t>
  </si>
  <si>
    <t>$U$4</t>
  </si>
  <si>
    <t>$U$4&gt;=$T$1</t>
  </si>
  <si>
    <t>$U$5</t>
  </si>
  <si>
    <t>$U$5&gt;=$T$1</t>
  </si>
  <si>
    <t>$U$6</t>
  </si>
  <si>
    <t>$U$6&gt;=$T$1</t>
  </si>
  <si>
    <t>$U$7</t>
  </si>
  <si>
    <t>$U$7&gt;=$T$1</t>
  </si>
  <si>
    <t>$U$8</t>
  </si>
  <si>
    <t>$U$8&gt;=$T$1</t>
  </si>
  <si>
    <t>$U$9</t>
  </si>
  <si>
    <t>$U$9&gt;=$T$1</t>
  </si>
  <si>
    <t>$U$10</t>
  </si>
  <si>
    <t>$U$10&gt;=$T$1</t>
  </si>
  <si>
    <t>$U$11</t>
  </si>
  <si>
    <t>$U$11&gt;=$T$1</t>
  </si>
  <si>
    <t>$U$12</t>
  </si>
  <si>
    <t>$U$12&gt;=$T$1</t>
  </si>
  <si>
    <t>$U$13</t>
  </si>
  <si>
    <t>$U$13&gt;=$T$1</t>
  </si>
  <si>
    <t>$U$14</t>
  </si>
  <si>
    <t>$U$14&gt;=$T$1</t>
  </si>
  <si>
    <t>$U$15</t>
  </si>
  <si>
    <t>$U$15&gt;=$T$1</t>
  </si>
  <si>
    <t>$U$16</t>
  </si>
  <si>
    <t>$U$16&gt;=$T$1</t>
  </si>
  <si>
    <t>$U$17</t>
  </si>
  <si>
    <t>$U$17&gt;=$T$1</t>
  </si>
  <si>
    <t>$U$18</t>
  </si>
  <si>
    <t>$U$18&gt;=$T$1</t>
  </si>
  <si>
    <t>$U$19</t>
  </si>
  <si>
    <t>$U$19&gt;=$T$1</t>
  </si>
  <si>
    <t>$U$20</t>
  </si>
  <si>
    <t>$U$20&gt;=$T$1</t>
  </si>
  <si>
    <t>$U$21</t>
  </si>
  <si>
    <t>$U$21&gt;=$T$1</t>
  </si>
  <si>
    <t>$U$22</t>
  </si>
  <si>
    <t>$U$22&gt;=$T$1</t>
  </si>
  <si>
    <t>$U$23</t>
  </si>
  <si>
    <t>$U$23&gt;=$T$1</t>
  </si>
  <si>
    <t>$U$24</t>
  </si>
  <si>
    <t>$U$24&gt;=$T$1</t>
  </si>
  <si>
    <t>$U$25</t>
  </si>
  <si>
    <t>$U$25&gt;=$T$1</t>
  </si>
  <si>
    <t>$U$26</t>
  </si>
  <si>
    <t>P Stock</t>
  </si>
  <si>
    <t>$U$26&gt;=$T$1</t>
  </si>
  <si>
    <t>$U$27</t>
  </si>
  <si>
    <t>$U$27&gt;=$T$1</t>
  </si>
  <si>
    <t>$U$28</t>
  </si>
  <si>
    <t>$U$28&gt;=$T$1</t>
  </si>
  <si>
    <t>$U$29</t>
  </si>
  <si>
    <t>$U$29&gt;=$T$1</t>
  </si>
  <si>
    <t>$U$30</t>
  </si>
  <si>
    <t>$U$30&gt;=$T$1</t>
  </si>
  <si>
    <t>$U$31</t>
  </si>
  <si>
    <t>$U$31&gt;=$T$1</t>
  </si>
  <si>
    <t>$U$32</t>
  </si>
  <si>
    <t>$U$32&gt;=$T$1</t>
  </si>
  <si>
    <t>$U$33</t>
  </si>
  <si>
    <t>$U$33&gt;=$T$1</t>
  </si>
  <si>
    <t>$U$34</t>
  </si>
  <si>
    <t>$U$34&gt;=$T$1</t>
  </si>
  <si>
    <t>$U$35</t>
  </si>
  <si>
    <t>Lookup Value Stock</t>
  </si>
  <si>
    <t>$U$35&gt;=$T$1</t>
  </si>
  <si>
    <t>$U$36</t>
  </si>
  <si>
    <t>$U$36&gt;=$T$1</t>
  </si>
  <si>
    <t>$U$37</t>
  </si>
  <si>
    <t>$U$37&gt;=$T$1</t>
  </si>
  <si>
    <t>$U$38</t>
  </si>
  <si>
    <t>$U$38&gt;=$T$1</t>
  </si>
  <si>
    <t>$U$39</t>
  </si>
  <si>
    <t>$U$39&gt;=$T$1</t>
  </si>
  <si>
    <t>$U$40</t>
  </si>
  <si>
    <t>$U$40&gt;=$T$1</t>
  </si>
  <si>
    <t>$U$41</t>
  </si>
  <si>
    <t>$U$41&gt;=$T$1</t>
  </si>
  <si>
    <t>$U$42</t>
  </si>
  <si>
    <t>$U$42&gt;=$T$1</t>
  </si>
  <si>
    <t>$U$43</t>
  </si>
  <si>
    <t>$U$43&gt;=$T$1</t>
  </si>
  <si>
    <t>$U$44</t>
  </si>
  <si>
    <t>$U$44&gt;=$T$1</t>
  </si>
  <si>
    <t>$U$45</t>
  </si>
  <si>
    <t>$U$45&gt;=$T$1</t>
  </si>
  <si>
    <t>$U$46</t>
  </si>
  <si>
    <t>$U$46&gt;=$T$1</t>
  </si>
  <si>
    <t>$U$47</t>
  </si>
  <si>
    <t>$U$47&gt;=$T$1</t>
  </si>
  <si>
    <t>$U$48</t>
  </si>
  <si>
    <t>$U$48&gt;=$T$1</t>
  </si>
  <si>
    <t>$U$49</t>
  </si>
  <si>
    <t>$U$49&gt;=$T$1</t>
  </si>
  <si>
    <t>$U$50</t>
  </si>
  <si>
    <t>$U$50&gt;=$T$1</t>
  </si>
  <si>
    <t>$U$51</t>
  </si>
  <si>
    <t>$U$51&gt;=$T$1</t>
  </si>
  <si>
    <t>$U$52</t>
  </si>
  <si>
    <t>$U$52&gt;=$T$1</t>
  </si>
  <si>
    <t>$U$53</t>
  </si>
  <si>
    <t>$U$53&gt;=$T$1</t>
  </si>
  <si>
    <t>$U$54</t>
  </si>
  <si>
    <t>$U$54&gt;=$T$1</t>
  </si>
  <si>
    <t>$U$55</t>
  </si>
  <si>
    <t>$U$55&gt;=$T$1</t>
  </si>
  <si>
    <t>$U$56</t>
  </si>
  <si>
    <t>$U$56&gt;=$T$1</t>
  </si>
  <si>
    <t>$U$57</t>
  </si>
  <si>
    <t>$U$57&gt;=$T$1</t>
  </si>
  <si>
    <t>$U$58</t>
  </si>
  <si>
    <t>$U$58&gt;=$T$1</t>
  </si>
  <si>
    <t>$U$59</t>
  </si>
  <si>
    <t>$U$59&gt;=$T$1</t>
  </si>
  <si>
    <t>$U$60</t>
  </si>
  <si>
    <t>$U$60&gt;=$T$1</t>
  </si>
  <si>
    <t>$U$61</t>
  </si>
  <si>
    <t>$U$61&gt;=$T$1</t>
  </si>
  <si>
    <t>$U$62</t>
  </si>
  <si>
    <t>$U$62&gt;=$T$1</t>
  </si>
  <si>
    <t>$U$63</t>
  </si>
  <si>
    <t>$U$63&gt;=$T$1</t>
  </si>
  <si>
    <t>$U$64</t>
  </si>
  <si>
    <t>$U$64&gt;=$T$1</t>
  </si>
  <si>
    <t>$U$65</t>
  </si>
  <si>
    <t>$U$65&gt;=$T$1</t>
  </si>
  <si>
    <t>$U$66</t>
  </si>
  <si>
    <t>$U$66&gt;=$T$1</t>
  </si>
  <si>
    <t>$U$67</t>
  </si>
  <si>
    <t>$U$67&gt;=$T$1</t>
  </si>
  <si>
    <t>$U$68</t>
  </si>
  <si>
    <t>$U$68&gt;=$T$1</t>
  </si>
  <si>
    <t>$U$69</t>
  </si>
  <si>
    <t>$U$69&gt;=$T$1</t>
  </si>
  <si>
    <t>$U$70</t>
  </si>
  <si>
    <t>$U$70&gt;=$T$1</t>
  </si>
  <si>
    <t>$U$71</t>
  </si>
  <si>
    <t>$U$71&gt;=$T$1</t>
  </si>
  <si>
    <t>$U$72</t>
  </si>
  <si>
    <t>$U$72&gt;=$T$1</t>
  </si>
  <si>
    <t>$U$73</t>
  </si>
  <si>
    <t>$U$73&gt;=$T$1</t>
  </si>
  <si>
    <t>$U$74</t>
  </si>
  <si>
    <t>$U$74&gt;=$T$1</t>
  </si>
  <si>
    <t>$U$75</t>
  </si>
  <si>
    <t>$U$75&gt;=$T$1</t>
  </si>
  <si>
    <t>$U$76</t>
  </si>
  <si>
    <t>$U$76&gt;=$T$1</t>
  </si>
  <si>
    <t>$U$77</t>
  </si>
  <si>
    <t>$U$77&gt;=$T$1</t>
  </si>
  <si>
    <t>$U$78</t>
  </si>
  <si>
    <t>$U$78&gt;=$T$1</t>
  </si>
  <si>
    <t>$U$79</t>
  </si>
  <si>
    <t>$U$79&gt;=$T$1</t>
  </si>
  <si>
    <t>$U$80</t>
  </si>
  <si>
    <t>$U$80&gt;=$T$1</t>
  </si>
  <si>
    <t>$U$81</t>
  </si>
  <si>
    <t>$U$81&gt;=$T$1</t>
  </si>
  <si>
    <t>$U$82</t>
  </si>
  <si>
    <t>$U$82&gt;=$T$1</t>
  </si>
  <si>
    <t>$U$83</t>
  </si>
  <si>
    <t>$U$83&gt;=$T$1</t>
  </si>
  <si>
    <t>$U$84</t>
  </si>
  <si>
    <t>$U$84&gt;=$T$1</t>
  </si>
  <si>
    <t>$U$85</t>
  </si>
  <si>
    <t>$U$85&gt;=$T$1</t>
  </si>
  <si>
    <t>$U$86</t>
  </si>
  <si>
    <t>$U$86&gt;=$T$1</t>
  </si>
  <si>
    <t>$U$87</t>
  </si>
  <si>
    <t>$U$87&gt;=$T$1</t>
  </si>
  <si>
    <t>$U$88</t>
  </si>
  <si>
    <t>$U$88&gt;=$T$1</t>
  </si>
  <si>
    <t>$U$89</t>
  </si>
  <si>
    <t>$U$89&gt;=$T$1</t>
  </si>
  <si>
    <t>$U$90</t>
  </si>
  <si>
    <t>$U$90&gt;=$T$1</t>
  </si>
  <si>
    <t>$U$91</t>
  </si>
  <si>
    <t>$U$91&gt;=$T$1</t>
  </si>
  <si>
    <t>$U$92</t>
  </si>
  <si>
    <t>$U$92&gt;=$T$1</t>
  </si>
  <si>
    <t>$U$93</t>
  </si>
  <si>
    <t>$U$93&gt;=$T$1</t>
  </si>
  <si>
    <t>$U$94</t>
  </si>
  <si>
    <t>$U$94&gt;=$T$1</t>
  </si>
  <si>
    <t>$U$95</t>
  </si>
  <si>
    <t>$U$95&gt;=$T$1</t>
  </si>
  <si>
    <t>$P$3&lt;=5</t>
  </si>
  <si>
    <t>$P$4&lt;=5</t>
  </si>
  <si>
    <t>$P$5&lt;=5</t>
  </si>
  <si>
    <t>$P$6&lt;=5</t>
  </si>
  <si>
    <t>$P$7&lt;=5</t>
  </si>
  <si>
    <t>$P$8&lt;=5</t>
  </si>
  <si>
    <t>$P$9&lt;=5</t>
  </si>
  <si>
    <t>$P$10&lt;=5</t>
  </si>
  <si>
    <t>$P$11&lt;=5</t>
  </si>
  <si>
    <t>$P$12&lt;=5</t>
  </si>
  <si>
    <t>$P$13&lt;=5</t>
  </si>
  <si>
    <t>$P$14&lt;=5</t>
  </si>
  <si>
    <t>$P$15&lt;=5</t>
  </si>
  <si>
    <t>$P$16&lt;=5</t>
  </si>
  <si>
    <t>$P$17&lt;=5</t>
  </si>
  <si>
    <t>$P$18&lt;=5</t>
  </si>
  <si>
    <t>$P$19&lt;=5</t>
  </si>
  <si>
    <t>$P$20&lt;=5</t>
  </si>
  <si>
    <t>$P$21&lt;=5</t>
  </si>
  <si>
    <t>$P$22&lt;=5</t>
  </si>
  <si>
    <t>$P$23&lt;=5</t>
  </si>
  <si>
    <t>$P$24&lt;=5</t>
  </si>
  <si>
    <t>$P$25&lt;=5</t>
  </si>
  <si>
    <t>$P$26&lt;=5</t>
  </si>
  <si>
    <t>$P$27&lt;=5</t>
  </si>
  <si>
    <t>$P$28&lt;=5</t>
  </si>
  <si>
    <t>$P$29&lt;=5</t>
  </si>
  <si>
    <t>$P$30&lt;=5</t>
  </si>
  <si>
    <t>$P$31&lt;=5</t>
  </si>
  <si>
    <t>$P$32&lt;=5</t>
  </si>
  <si>
    <t>$P$33&lt;=5</t>
  </si>
  <si>
    <t>$P$34&lt;=5</t>
  </si>
  <si>
    <t>$P$35&lt;=5</t>
  </si>
  <si>
    <t>$P$36&lt;=5</t>
  </si>
  <si>
    <t>$P$37&lt;=5</t>
  </si>
  <si>
    <t>$P$38&lt;=5</t>
  </si>
  <si>
    <t>$P$39&lt;=5</t>
  </si>
  <si>
    <t>$P$40&lt;=5</t>
  </si>
  <si>
    <t>$P$41&lt;=5</t>
  </si>
  <si>
    <t>$P$42&lt;=5</t>
  </si>
  <si>
    <t>$P$43&lt;=5</t>
  </si>
  <si>
    <t>$P$44&lt;=5</t>
  </si>
  <si>
    <t>$P$45&lt;=5</t>
  </si>
  <si>
    <t>$P$46&lt;=5</t>
  </si>
  <si>
    <t>$P$47&lt;=5</t>
  </si>
  <si>
    <t>$P$48&lt;=5</t>
  </si>
  <si>
    <t>$P$49&lt;=5</t>
  </si>
  <si>
    <t>$P$50&lt;=5</t>
  </si>
  <si>
    <t>$P$51&lt;=5</t>
  </si>
  <si>
    <t>$P$52&lt;=5</t>
  </si>
  <si>
    <t>$P$53&lt;=5</t>
  </si>
  <si>
    <t>$P$54&lt;=5</t>
  </si>
  <si>
    <t>$P$55&lt;=5</t>
  </si>
  <si>
    <t>$P$56&lt;=5</t>
  </si>
  <si>
    <t>$P$57&lt;=5</t>
  </si>
  <si>
    <t>$P$58&lt;=5</t>
  </si>
  <si>
    <t>$P$59&lt;=5</t>
  </si>
  <si>
    <t>$P$60&lt;=5</t>
  </si>
  <si>
    <t>$P$61&lt;=5</t>
  </si>
  <si>
    <t>$P$62&lt;=5</t>
  </si>
  <si>
    <t>$P$63&lt;=5</t>
  </si>
  <si>
    <t>$P$64&lt;=5</t>
  </si>
  <si>
    <t>$P$65&lt;=5</t>
  </si>
  <si>
    <t>$P$66&lt;=5</t>
  </si>
  <si>
    <t>$P$67&lt;=5</t>
  </si>
  <si>
    <t>$P$68&lt;=5</t>
  </si>
  <si>
    <t>$P$69&lt;=5</t>
  </si>
  <si>
    <t>$P$70&lt;=5</t>
  </si>
  <si>
    <t>$P$71&lt;=5</t>
  </si>
  <si>
    <t>$P$72&lt;=5</t>
  </si>
  <si>
    <t>$P$73&lt;=5</t>
  </si>
  <si>
    <t>$P$74&lt;=5</t>
  </si>
  <si>
    <t>$P$75&lt;=5</t>
  </si>
  <si>
    <t>$P$76&lt;=5</t>
  </si>
  <si>
    <t>$P$77&lt;=5</t>
  </si>
  <si>
    <t>$P$78&lt;=5</t>
  </si>
  <si>
    <t>$P$79&lt;=5</t>
  </si>
  <si>
    <t>$P$80&lt;=5</t>
  </si>
  <si>
    <t>$P$81&lt;=5</t>
  </si>
  <si>
    <t>$P$82&lt;=5</t>
  </si>
  <si>
    <t>$P$83&lt;=5</t>
  </si>
  <si>
    <t>$P$84&lt;=5</t>
  </si>
  <si>
    <t>$P$85&lt;=5</t>
  </si>
  <si>
    <t>$P$86&lt;=5</t>
  </si>
  <si>
    <t>$P$87&lt;=5</t>
  </si>
  <si>
    <t>$P$88&lt;=5</t>
  </si>
  <si>
    <t>$P$89&lt;=5</t>
  </si>
  <si>
    <t>$P$90&lt;=5</t>
  </si>
  <si>
    <t>$P$91&lt;=5</t>
  </si>
  <si>
    <t>$P$92&lt;=5</t>
  </si>
  <si>
    <t>$P$93&lt;=5</t>
  </si>
  <si>
    <t>$P$94&lt;=5</t>
  </si>
  <si>
    <t>$P$95&lt;=5</t>
  </si>
  <si>
    <t>$P$3&gt;=0</t>
  </si>
  <si>
    <t>$P$4&gt;=0</t>
  </si>
  <si>
    <t>Binding</t>
  </si>
  <si>
    <t>$P$5&gt;=0</t>
  </si>
  <si>
    <t>$P$6&gt;=0</t>
  </si>
  <si>
    <t>$P$7&gt;=0</t>
  </si>
  <si>
    <t>$P$8&gt;=0</t>
  </si>
  <si>
    <t>$P$9&gt;=0</t>
  </si>
  <si>
    <t>$P$10&gt;=0</t>
  </si>
  <si>
    <t>$P$11&gt;=0</t>
  </si>
  <si>
    <t>$P$12&gt;=0</t>
  </si>
  <si>
    <t>$P$13&gt;=0</t>
  </si>
  <si>
    <t>$P$14&gt;=0</t>
  </si>
  <si>
    <t>$P$15&gt;=0</t>
  </si>
  <si>
    <t>$P$16&gt;=0</t>
  </si>
  <si>
    <t>$P$17&gt;=0</t>
  </si>
  <si>
    <t>$P$18&gt;=0</t>
  </si>
  <si>
    <t>$P$19&gt;=0</t>
  </si>
  <si>
    <t>$P$20&gt;=0</t>
  </si>
  <si>
    <t>$P$21&gt;=0</t>
  </si>
  <si>
    <t>$P$22&gt;=0</t>
  </si>
  <si>
    <t>$P$23&gt;=0</t>
  </si>
  <si>
    <t>$P$24&gt;=0</t>
  </si>
  <si>
    <t>$P$25&gt;=0</t>
  </si>
  <si>
    <t>$P$26&gt;=0</t>
  </si>
  <si>
    <t>$P$27&gt;=0</t>
  </si>
  <si>
    <t>$P$28&gt;=0</t>
  </si>
  <si>
    <t>$P$29&gt;=0</t>
  </si>
  <si>
    <t>$P$30&gt;=0</t>
  </si>
  <si>
    <t>$P$31&gt;=0</t>
  </si>
  <si>
    <t>$P$32&gt;=0</t>
  </si>
  <si>
    <t>$P$33&gt;=0</t>
  </si>
  <si>
    <t>$P$34&gt;=0</t>
  </si>
  <si>
    <t>$P$35&gt;=0</t>
  </si>
  <si>
    <t>$P$36&gt;=0</t>
  </si>
  <si>
    <t>$P$37&gt;=0</t>
  </si>
  <si>
    <t>$P$38&gt;=0</t>
  </si>
  <si>
    <t>$P$39&gt;=0</t>
  </si>
  <si>
    <t>$P$40&gt;=0</t>
  </si>
  <si>
    <t>$P$41&gt;=0</t>
  </si>
  <si>
    <t>$P$42&gt;=0</t>
  </si>
  <si>
    <t>$P$43&gt;=0</t>
  </si>
  <si>
    <t>$P$44&gt;=0</t>
  </si>
  <si>
    <t>$P$45&gt;=0</t>
  </si>
  <si>
    <t>$P$46&gt;=0</t>
  </si>
  <si>
    <t>$P$47&gt;=0</t>
  </si>
  <si>
    <t>$P$48&gt;=0</t>
  </si>
  <si>
    <t>$P$49&gt;=0</t>
  </si>
  <si>
    <t>$P$50&gt;=0</t>
  </si>
  <si>
    <t>$P$51&gt;=0</t>
  </si>
  <si>
    <t>$P$52&gt;=0</t>
  </si>
  <si>
    <t>$P$53&gt;=0</t>
  </si>
  <si>
    <t>$P$54&gt;=0</t>
  </si>
  <si>
    <t>$P$55&gt;=0</t>
  </si>
  <si>
    <t>$P$56&gt;=0</t>
  </si>
  <si>
    <t>$P$57&gt;=0</t>
  </si>
  <si>
    <t>$P$58&gt;=0</t>
  </si>
  <si>
    <t>$P$59&gt;=0</t>
  </si>
  <si>
    <t>$P$60&gt;=0</t>
  </si>
  <si>
    <t>$P$61&gt;=0</t>
  </si>
  <si>
    <t>$P$62&gt;=0</t>
  </si>
  <si>
    <t>$P$63&gt;=0</t>
  </si>
  <si>
    <t>$P$64&gt;=0</t>
  </si>
  <si>
    <t>$P$65&gt;=0</t>
  </si>
  <si>
    <t>$P$66&gt;=0</t>
  </si>
  <si>
    <t>$P$67&gt;=0</t>
  </si>
  <si>
    <t>$P$68&gt;=0</t>
  </si>
  <si>
    <t>$P$69&gt;=0</t>
  </si>
  <si>
    <t>$P$70&gt;=0</t>
  </si>
  <si>
    <t>$P$71&gt;=0</t>
  </si>
  <si>
    <t>$P$72&gt;=0</t>
  </si>
  <si>
    <t>$P$73&gt;=0</t>
  </si>
  <si>
    <t>$P$74&gt;=0</t>
  </si>
  <si>
    <t>$P$75&gt;=0</t>
  </si>
  <si>
    <t>$P$76&gt;=0</t>
  </si>
  <si>
    <t>$P$77&gt;=0</t>
  </si>
  <si>
    <t>$P$78&gt;=0</t>
  </si>
  <si>
    <t>$P$79&gt;=0</t>
  </si>
  <si>
    <t>$P$80&gt;=0</t>
  </si>
  <si>
    <t>$P$81&gt;=0</t>
  </si>
  <si>
    <t>$P$82&gt;=0</t>
  </si>
  <si>
    <t>$P$83&gt;=0</t>
  </si>
  <si>
    <t>$P$84&gt;=0</t>
  </si>
  <si>
    <t>$P$85&gt;=0</t>
  </si>
  <si>
    <t>$P$86&gt;=0</t>
  </si>
  <si>
    <t>$P$87&gt;=0</t>
  </si>
  <si>
    <t>$P$88&gt;=0</t>
  </si>
  <si>
    <t>$P$89&gt;=0</t>
  </si>
  <si>
    <t>$P$90&gt;=0</t>
  </si>
  <si>
    <t>$P$91&gt;=0</t>
  </si>
  <si>
    <t>$P$92&gt;=0</t>
  </si>
  <si>
    <t>$P$93&gt;=0</t>
  </si>
  <si>
    <t>$P$94&gt;=0</t>
  </si>
  <si>
    <t>$P$95&gt;=0</t>
  </si>
  <si>
    <t>$P$3:$P$95=Integer</t>
  </si>
  <si>
    <t>Proj Stock</t>
  </si>
  <si>
    <t>Revenue</t>
  </si>
  <si>
    <t>Microsoft Excel 15.0 Linearity Report</t>
  </si>
  <si>
    <t>Worksheet: [Book2 (Autosaved) (Recovered) (Recovered).xlsm]Sheet1</t>
  </si>
  <si>
    <t>Report Created: 5/10/2013 9:27:27 PM</t>
  </si>
  <si>
    <t>Linear Function</t>
  </si>
  <si>
    <t>Occurs Linearly</t>
  </si>
  <si>
    <t>$U$98</t>
  </si>
  <si>
    <t>No</t>
  </si>
  <si>
    <t>$M$3</t>
  </si>
  <si>
    <t>$M$4</t>
  </si>
  <si>
    <t>$M$5</t>
  </si>
  <si>
    <t>$M$6</t>
  </si>
  <si>
    <t>$M$7</t>
  </si>
  <si>
    <t>$M$8</t>
  </si>
  <si>
    <t>$M$9</t>
  </si>
  <si>
    <t>$M$10</t>
  </si>
  <si>
    <t>$M$11</t>
  </si>
  <si>
    <t>$M$12</t>
  </si>
  <si>
    <t>$M$13</t>
  </si>
  <si>
    <t>$M$14</t>
  </si>
  <si>
    <t>$M$15</t>
  </si>
  <si>
    <t>$M$16</t>
  </si>
  <si>
    <t>$M$17</t>
  </si>
  <si>
    <t>$M$18</t>
  </si>
  <si>
    <t>$M$19</t>
  </si>
  <si>
    <t>$M$20</t>
  </si>
  <si>
    <t>$M$21</t>
  </si>
  <si>
    <t>$M$22</t>
  </si>
  <si>
    <t>$M$23</t>
  </si>
  <si>
    <t>$M$24</t>
  </si>
  <si>
    <t>$M$25</t>
  </si>
  <si>
    <t>$M$26</t>
  </si>
  <si>
    <t>$M$27</t>
  </si>
  <si>
    <t>$M$28</t>
  </si>
  <si>
    <t>$M$29</t>
  </si>
  <si>
    <t>$M$30</t>
  </si>
  <si>
    <t>$M$31</t>
  </si>
  <si>
    <t>$M$32</t>
  </si>
  <si>
    <t>$M$33</t>
  </si>
  <si>
    <t>$M$34</t>
  </si>
  <si>
    <t>$M$35</t>
  </si>
  <si>
    <t>$M$36</t>
  </si>
  <si>
    <t>$M$37</t>
  </si>
  <si>
    <t>$M$38</t>
  </si>
  <si>
    <t>$M$39</t>
  </si>
  <si>
    <t>$M$40</t>
  </si>
  <si>
    <t>$M$41</t>
  </si>
  <si>
    <t>$M$42</t>
  </si>
  <si>
    <t>$M$43</t>
  </si>
  <si>
    <t>$M$44</t>
  </si>
  <si>
    <t>$M$45</t>
  </si>
  <si>
    <t>$M$46</t>
  </si>
  <si>
    <t>$M$47</t>
  </si>
  <si>
    <t>$M$48</t>
  </si>
  <si>
    <t>$M$49</t>
  </si>
  <si>
    <t>$M$50</t>
  </si>
  <si>
    <t>$M$51</t>
  </si>
  <si>
    <t>$M$52</t>
  </si>
  <si>
    <t>$M$53</t>
  </si>
  <si>
    <t>$M$54</t>
  </si>
  <si>
    <t>$M$55</t>
  </si>
  <si>
    <t>$M$56</t>
  </si>
  <si>
    <t>$M$57</t>
  </si>
  <si>
    <t>$M$58</t>
  </si>
  <si>
    <t>$M$59</t>
  </si>
  <si>
    <t>$M$60</t>
  </si>
  <si>
    <t>$M$61</t>
  </si>
  <si>
    <t>$M$62</t>
  </si>
  <si>
    <t>$M$63</t>
  </si>
  <si>
    <t>$M$64</t>
  </si>
  <si>
    <t>$M$65</t>
  </si>
  <si>
    <t>$M$66</t>
  </si>
  <si>
    <t>$M$67</t>
  </si>
  <si>
    <t>$M$68</t>
  </si>
  <si>
    <t>$M$69</t>
  </si>
  <si>
    <t>$M$70</t>
  </si>
  <si>
    <t>$M$71</t>
  </si>
  <si>
    <t>$M$72</t>
  </si>
  <si>
    <t>$M$73</t>
  </si>
  <si>
    <t>$M$74</t>
  </si>
  <si>
    <t>$M$75</t>
  </si>
  <si>
    <t>$M$76</t>
  </si>
  <si>
    <t>$M$77</t>
  </si>
  <si>
    <t>$M$78</t>
  </si>
  <si>
    <t>$M$79</t>
  </si>
  <si>
    <t>$M$80</t>
  </si>
  <si>
    <t>$M$81</t>
  </si>
  <si>
    <t>$M$82</t>
  </si>
  <si>
    <t>$M$83</t>
  </si>
  <si>
    <t>$M$84</t>
  </si>
  <si>
    <t>$M$85</t>
  </si>
  <si>
    <t>$M$86</t>
  </si>
  <si>
    <t>$M$87</t>
  </si>
  <si>
    <t>$M$88</t>
  </si>
  <si>
    <t>$M$89</t>
  </si>
  <si>
    <t>$M$90</t>
  </si>
  <si>
    <t>$M$91</t>
  </si>
  <si>
    <t>$M$92</t>
  </si>
  <si>
    <t>$M$93</t>
  </si>
  <si>
    <t>$M$94</t>
  </si>
  <si>
    <t>$M$95</t>
  </si>
  <si>
    <t>$P$3&gt;=10</t>
  </si>
  <si>
    <t>Yes</t>
  </si>
  <si>
    <t>$P$4&gt;=10</t>
  </si>
  <si>
    <t>$P$5&gt;=10</t>
  </si>
  <si>
    <t>$P$6&gt;=10</t>
  </si>
  <si>
    <t>$P$7&gt;=10</t>
  </si>
  <si>
    <t>$P$8&gt;=10</t>
  </si>
  <si>
    <t>$P$9&gt;=10</t>
  </si>
  <si>
    <t>$P$10&gt;=10</t>
  </si>
  <si>
    <t>$P$11&gt;=10</t>
  </si>
  <si>
    <t>$P$12&gt;=10</t>
  </si>
  <si>
    <t>$P$13&gt;=10</t>
  </si>
  <si>
    <t>$P$14&gt;=10</t>
  </si>
  <si>
    <t>$P$15&gt;=10</t>
  </si>
  <si>
    <t>$P$16&gt;=10</t>
  </si>
  <si>
    <t>$P$17&gt;=10</t>
  </si>
  <si>
    <t>$P$18&gt;=10</t>
  </si>
  <si>
    <t>$P$19&gt;=10</t>
  </si>
  <si>
    <t>$P$20&gt;=10</t>
  </si>
  <si>
    <t>$P$21&gt;=10</t>
  </si>
  <si>
    <t>$P$22&gt;=10</t>
  </si>
  <si>
    <t>$P$23&gt;=10</t>
  </si>
  <si>
    <t>$P$24&gt;=10</t>
  </si>
  <si>
    <t>$P$25&gt;=10</t>
  </si>
  <si>
    <t>P Quantity</t>
  </si>
  <si>
    <t>$P$26&gt;=10</t>
  </si>
  <si>
    <t>$P$27&gt;=10</t>
  </si>
  <si>
    <t>$P$28&gt;=10</t>
  </si>
  <si>
    <t>$P$29&gt;=10</t>
  </si>
  <si>
    <t>$P$30&gt;=10</t>
  </si>
  <si>
    <t>$P$31&gt;=10</t>
  </si>
  <si>
    <t>$P$32&gt;=10</t>
  </si>
  <si>
    <t>$P$33&gt;=10</t>
  </si>
  <si>
    <t>$P$34&gt;=10</t>
  </si>
  <si>
    <t>Lookup Value Quantity</t>
  </si>
  <si>
    <t>$P$35&gt;=10</t>
  </si>
  <si>
    <t>$P$36&gt;=10</t>
  </si>
  <si>
    <t>$P$37&gt;=10</t>
  </si>
  <si>
    <t>$P$38&gt;=10</t>
  </si>
  <si>
    <t>$P$39&gt;=10</t>
  </si>
  <si>
    <t>$P$40&gt;=10</t>
  </si>
  <si>
    <t>$P$41&gt;=10</t>
  </si>
  <si>
    <t>$P$42&gt;=10</t>
  </si>
  <si>
    <t>$P$43&gt;=10</t>
  </si>
  <si>
    <t>$P$44&gt;=10</t>
  </si>
  <si>
    <t>$P$45&gt;=10</t>
  </si>
  <si>
    <t>$P$46&gt;=10</t>
  </si>
  <si>
    <t>$P$47&gt;=10</t>
  </si>
  <si>
    <t>$P$48&gt;=10</t>
  </si>
  <si>
    <t>$P$49&gt;=10</t>
  </si>
  <si>
    <t>$P$50&gt;=10</t>
  </si>
  <si>
    <t>$P$51&gt;=10</t>
  </si>
  <si>
    <t>$P$52&gt;=10</t>
  </si>
  <si>
    <t>$P$53&gt;=10</t>
  </si>
  <si>
    <t>$P$54&gt;=10</t>
  </si>
  <si>
    <t>$P$55&gt;=10</t>
  </si>
  <si>
    <t>$P$56&gt;=10</t>
  </si>
  <si>
    <t>$P$57&gt;=10</t>
  </si>
  <si>
    <t>$P$58&gt;=10</t>
  </si>
  <si>
    <t>$P$59&gt;=10</t>
  </si>
  <si>
    <t>$P$60&gt;=10</t>
  </si>
  <si>
    <t>$P$61&gt;=10</t>
  </si>
  <si>
    <t>$P$62&gt;=10</t>
  </si>
  <si>
    <t>$P$63&gt;=10</t>
  </si>
  <si>
    <t>$P$64&gt;=10</t>
  </si>
  <si>
    <t>$P$65&gt;=10</t>
  </si>
  <si>
    <t>$P$66&gt;=10</t>
  </si>
  <si>
    <t>$P$67&gt;=10</t>
  </si>
  <si>
    <t>$P$68&gt;=10</t>
  </si>
  <si>
    <t>$P$69&gt;=10</t>
  </si>
  <si>
    <t>$P$70&gt;=10</t>
  </si>
  <si>
    <t>$P$71&gt;=10</t>
  </si>
  <si>
    <t>$P$72&gt;=10</t>
  </si>
  <si>
    <t>$P$73&gt;=10</t>
  </si>
  <si>
    <t>$P$74&gt;=10</t>
  </si>
  <si>
    <t>$P$75&gt;=10</t>
  </si>
  <si>
    <t>$P$76&gt;=10</t>
  </si>
  <si>
    <t>$P$77&gt;=10</t>
  </si>
  <si>
    <t>$P$78&gt;=10</t>
  </si>
  <si>
    <t>$P$79&gt;=10</t>
  </si>
  <si>
    <t>$P$80&gt;=10</t>
  </si>
  <si>
    <t>$P$81&gt;=10</t>
  </si>
  <si>
    <t>$P$82&gt;=10</t>
  </si>
  <si>
    <t>$P$83&gt;=10</t>
  </si>
  <si>
    <t>$P$84&gt;=10</t>
  </si>
  <si>
    <t>$P$85&gt;=10</t>
  </si>
  <si>
    <t>$P$86&gt;=10</t>
  </si>
  <si>
    <t>$P$87&gt;=10</t>
  </si>
  <si>
    <t>$P$88&gt;=10</t>
  </si>
  <si>
    <t>$P$89&gt;=10</t>
  </si>
  <si>
    <t>$P$90&gt;=10</t>
  </si>
  <si>
    <t>$P$91&gt;=10</t>
  </si>
  <si>
    <t>$P$92&gt;=10</t>
  </si>
  <si>
    <t>$P$93&gt;=10</t>
  </si>
  <si>
    <t>$P$94&gt;=10</t>
  </si>
  <si>
    <t>$P$95&gt;=10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</si>
</sst>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[$₹-4009]\ * #,##0.00_ ;_ [$₹-4009]\ * \-#,##0.00_ ;_ [$₹-4009]\ * &quot;-&quot;??_ ;_ @_ 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2" borderId="2" xfId="0" applyFill="1" applyBorder="1"/>
    <xf numFmtId="0" fontId="0" fillId="0" borderId="2" xfId="0" applyBorder="1" applyAlignment="1">
      <alignment wrapText="1"/>
    </xf>
    <xf numFmtId="0" fontId="0" fillId="2" borderId="3" xfId="0" applyFill="1" applyBorder="1"/>
    <xf numFmtId="0" fontId="0" fillId="0" borderId="2" xfId="0" applyBorder="1"/>
    <xf numFmtId="0" fontId="0" fillId="0" borderId="3" xfId="0" applyBorder="1"/>
    <xf numFmtId="15" fontId="0" fillId="0" borderId="4" xfId="0" applyNumberFormat="1" applyBorder="1"/>
    <xf numFmtId="0" fontId="0" fillId="3" borderId="0" xfId="0" applyFill="1" applyBorder="1"/>
    <xf numFmtId="1" fontId="0" fillId="0" borderId="0" xfId="0" applyNumberFormat="1" applyBorder="1"/>
    <xf numFmtId="164" fontId="0" fillId="0" borderId="5" xfId="0" applyNumberFormat="1" applyBorder="1"/>
    <xf numFmtId="15" fontId="0" fillId="0" borderId="6" xfId="0" applyNumberFormat="1" applyBorder="1"/>
    <xf numFmtId="0" fontId="0" fillId="3" borderId="7" xfId="0" applyFill="1" applyBorder="1"/>
    <xf numFmtId="1" fontId="0" fillId="0" borderId="7" xfId="0" applyNumberFormat="1" applyBorder="1"/>
    <xf numFmtId="164" fontId="0" fillId="0" borderId="8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8" xfId="0" applyFill="1" applyBorder="1"/>
    <xf numFmtId="0" fontId="0" fillId="5" borderId="0" xfId="0" applyFill="1" applyBorder="1"/>
    <xf numFmtId="0" fontId="0" fillId="5" borderId="0" xfId="0" applyFill="1"/>
    <xf numFmtId="0" fontId="1" fillId="0" borderId="0" xfId="0" applyFont="1"/>
    <xf numFmtId="0" fontId="0" fillId="0" borderId="10" xfId="0" applyFill="1" applyBorder="1" applyAlignment="1"/>
    <xf numFmtId="0" fontId="2" fillId="0" borderId="9" xfId="0" applyFont="1" applyFill="1" applyBorder="1" applyAlignment="1">
      <alignment horizontal="center"/>
    </xf>
    <xf numFmtId="0" fontId="0" fillId="0" borderId="11" xfId="0" applyFill="1" applyBorder="1" applyAlignment="1"/>
    <xf numFmtId="164" fontId="0" fillId="0" borderId="10" xfId="0" applyNumberFormat="1" applyFill="1" applyBorder="1" applyAlignment="1"/>
    <xf numFmtId="0" fontId="0" fillId="0" borderId="11" xfId="0" applyNumberFormat="1" applyFill="1" applyBorder="1" applyAlignment="1"/>
    <xf numFmtId="0" fontId="0" fillId="0" borderId="10" xfId="0" applyNumberFormat="1" applyFill="1" applyBorder="1" applyAlignment="1"/>
    <xf numFmtId="0" fontId="0" fillId="0" borderId="0" xfId="0" applyFill="1" applyBorder="1"/>
    <xf numFmtId="0" fontId="3" fillId="0" borderId="9" xfId="0" applyFont="1" applyFill="1" applyBorder="1" applyAlignment="1">
      <alignment horizontal="center"/>
    </xf>
    <xf numFmtId="0" fontId="1" fillId="0" borderId="10" xfId="0" applyFont="1" applyFill="1" applyBorder="1" applyAlignment="1"/>
    <xf numFmtId="0" fontId="1" fillId="0" borderId="11" xfId="0" applyFont="1" applyFill="1" applyBorder="1" applyAlignme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Cement!$D$2</c:f>
              <c:strCache>
                <c:ptCount val="1"/>
                <c:pt idx="0">
                  <c:v>Stock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Cement!$A$3:$A$95</c:f>
              <c:numCache>
                <c:formatCode>d\-mmm\-yy</c:formatCode>
                <c:ptCount val="93"/>
                <c:pt idx="0">
                  <c:v>41300</c:v>
                </c:pt>
                <c:pt idx="1">
                  <c:v>41301</c:v>
                </c:pt>
                <c:pt idx="2">
                  <c:v>41302</c:v>
                </c:pt>
                <c:pt idx="3">
                  <c:v>41303</c:v>
                </c:pt>
                <c:pt idx="4">
                  <c:v>41304</c:v>
                </c:pt>
                <c:pt idx="5">
                  <c:v>41305</c:v>
                </c:pt>
                <c:pt idx="6">
                  <c:v>41306</c:v>
                </c:pt>
                <c:pt idx="7">
                  <c:v>41307</c:v>
                </c:pt>
                <c:pt idx="8">
                  <c:v>41308</c:v>
                </c:pt>
                <c:pt idx="9">
                  <c:v>41309</c:v>
                </c:pt>
                <c:pt idx="10">
                  <c:v>41310</c:v>
                </c:pt>
                <c:pt idx="11">
                  <c:v>41311</c:v>
                </c:pt>
                <c:pt idx="12">
                  <c:v>41312</c:v>
                </c:pt>
                <c:pt idx="13">
                  <c:v>41313</c:v>
                </c:pt>
                <c:pt idx="14">
                  <c:v>41314</c:v>
                </c:pt>
                <c:pt idx="15">
                  <c:v>41315</c:v>
                </c:pt>
                <c:pt idx="16">
                  <c:v>41316</c:v>
                </c:pt>
                <c:pt idx="17">
                  <c:v>41317</c:v>
                </c:pt>
                <c:pt idx="18">
                  <c:v>41318</c:v>
                </c:pt>
                <c:pt idx="19">
                  <c:v>41319</c:v>
                </c:pt>
                <c:pt idx="20">
                  <c:v>41320</c:v>
                </c:pt>
                <c:pt idx="21">
                  <c:v>41321</c:v>
                </c:pt>
                <c:pt idx="22">
                  <c:v>41322</c:v>
                </c:pt>
                <c:pt idx="23">
                  <c:v>41323</c:v>
                </c:pt>
                <c:pt idx="24">
                  <c:v>41324</c:v>
                </c:pt>
                <c:pt idx="25">
                  <c:v>41325</c:v>
                </c:pt>
                <c:pt idx="26">
                  <c:v>41326</c:v>
                </c:pt>
                <c:pt idx="27">
                  <c:v>41327</c:v>
                </c:pt>
                <c:pt idx="28">
                  <c:v>41328</c:v>
                </c:pt>
                <c:pt idx="29">
                  <c:v>41329</c:v>
                </c:pt>
                <c:pt idx="30">
                  <c:v>41330</c:v>
                </c:pt>
                <c:pt idx="31">
                  <c:v>41331</c:v>
                </c:pt>
                <c:pt idx="32">
                  <c:v>41332</c:v>
                </c:pt>
                <c:pt idx="33">
                  <c:v>41333</c:v>
                </c:pt>
                <c:pt idx="34">
                  <c:v>41334</c:v>
                </c:pt>
                <c:pt idx="35">
                  <c:v>41335</c:v>
                </c:pt>
                <c:pt idx="36">
                  <c:v>41336</c:v>
                </c:pt>
                <c:pt idx="37">
                  <c:v>41337</c:v>
                </c:pt>
                <c:pt idx="38">
                  <c:v>41338</c:v>
                </c:pt>
                <c:pt idx="39">
                  <c:v>41339</c:v>
                </c:pt>
                <c:pt idx="40">
                  <c:v>41340</c:v>
                </c:pt>
                <c:pt idx="41">
                  <c:v>41341</c:v>
                </c:pt>
                <c:pt idx="42">
                  <c:v>41342</c:v>
                </c:pt>
                <c:pt idx="43">
                  <c:v>41343</c:v>
                </c:pt>
                <c:pt idx="44">
                  <c:v>41344</c:v>
                </c:pt>
                <c:pt idx="45">
                  <c:v>41345</c:v>
                </c:pt>
                <c:pt idx="46">
                  <c:v>41346</c:v>
                </c:pt>
                <c:pt idx="47">
                  <c:v>41347</c:v>
                </c:pt>
                <c:pt idx="48">
                  <c:v>41348</c:v>
                </c:pt>
                <c:pt idx="49">
                  <c:v>41349</c:v>
                </c:pt>
                <c:pt idx="50">
                  <c:v>41350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41356</c:v>
                </c:pt>
                <c:pt idx="57">
                  <c:v>41357</c:v>
                </c:pt>
                <c:pt idx="58">
                  <c:v>41358</c:v>
                </c:pt>
                <c:pt idx="59">
                  <c:v>41359</c:v>
                </c:pt>
                <c:pt idx="60">
                  <c:v>41360</c:v>
                </c:pt>
                <c:pt idx="61">
                  <c:v>41361</c:v>
                </c:pt>
                <c:pt idx="62">
                  <c:v>41362</c:v>
                </c:pt>
                <c:pt idx="63">
                  <c:v>41363</c:v>
                </c:pt>
                <c:pt idx="64">
                  <c:v>41364</c:v>
                </c:pt>
                <c:pt idx="65">
                  <c:v>41365</c:v>
                </c:pt>
                <c:pt idx="66">
                  <c:v>41366</c:v>
                </c:pt>
                <c:pt idx="67">
                  <c:v>41367</c:v>
                </c:pt>
                <c:pt idx="68">
                  <c:v>41368</c:v>
                </c:pt>
                <c:pt idx="69">
                  <c:v>41369</c:v>
                </c:pt>
                <c:pt idx="70">
                  <c:v>41370</c:v>
                </c:pt>
                <c:pt idx="71">
                  <c:v>41371</c:v>
                </c:pt>
                <c:pt idx="72">
                  <c:v>41372</c:v>
                </c:pt>
                <c:pt idx="73">
                  <c:v>41373</c:v>
                </c:pt>
                <c:pt idx="74">
                  <c:v>41374</c:v>
                </c:pt>
                <c:pt idx="75">
                  <c:v>41375</c:v>
                </c:pt>
                <c:pt idx="76">
                  <c:v>41376</c:v>
                </c:pt>
                <c:pt idx="77">
                  <c:v>41377</c:v>
                </c:pt>
                <c:pt idx="78">
                  <c:v>41378</c:v>
                </c:pt>
                <c:pt idx="79">
                  <c:v>41379</c:v>
                </c:pt>
                <c:pt idx="80">
                  <c:v>41380</c:v>
                </c:pt>
                <c:pt idx="81">
                  <c:v>41381</c:v>
                </c:pt>
                <c:pt idx="82">
                  <c:v>41382</c:v>
                </c:pt>
                <c:pt idx="83">
                  <c:v>41383</c:v>
                </c:pt>
                <c:pt idx="84">
                  <c:v>41384</c:v>
                </c:pt>
                <c:pt idx="85">
                  <c:v>41385</c:v>
                </c:pt>
                <c:pt idx="86">
                  <c:v>41386</c:v>
                </c:pt>
                <c:pt idx="87">
                  <c:v>41387</c:v>
                </c:pt>
                <c:pt idx="88">
                  <c:v>41388</c:v>
                </c:pt>
                <c:pt idx="89">
                  <c:v>41389</c:v>
                </c:pt>
                <c:pt idx="90">
                  <c:v>41390</c:v>
                </c:pt>
                <c:pt idx="91">
                  <c:v>41391</c:v>
                </c:pt>
                <c:pt idx="92">
                  <c:v>41392</c:v>
                </c:pt>
              </c:numCache>
            </c:numRef>
          </c:cat>
          <c:val>
            <c:numRef>
              <c:f>Cement!$D$3:$D$95</c:f>
              <c:numCache>
                <c:formatCode>0</c:formatCode>
                <c:ptCount val="9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173.46153846153848</c:v>
                </c:pt>
                <c:pt idx="24">
                  <c:v>166.92307692307693</c:v>
                </c:pt>
                <c:pt idx="25">
                  <c:v>160.38461538461539</c:v>
                </c:pt>
                <c:pt idx="26">
                  <c:v>153.84615384615384</c:v>
                </c:pt>
                <c:pt idx="27">
                  <c:v>147.30769230769229</c:v>
                </c:pt>
                <c:pt idx="28">
                  <c:v>140.76923076923075</c:v>
                </c:pt>
                <c:pt idx="29">
                  <c:v>134.2307692307692</c:v>
                </c:pt>
                <c:pt idx="30">
                  <c:v>127.69230769230765</c:v>
                </c:pt>
                <c:pt idx="31">
                  <c:v>121.15384615384612</c:v>
                </c:pt>
                <c:pt idx="32">
                  <c:v>114.61538461538458</c:v>
                </c:pt>
                <c:pt idx="33">
                  <c:v>108.07692307692305</c:v>
                </c:pt>
                <c:pt idx="34">
                  <c:v>101.53846153846152</c:v>
                </c:pt>
                <c:pt idx="35">
                  <c:v>94.999999999999986</c:v>
                </c:pt>
                <c:pt idx="36">
                  <c:v>88.461538461538453</c:v>
                </c:pt>
                <c:pt idx="37">
                  <c:v>81.92307692307692</c:v>
                </c:pt>
                <c:pt idx="38">
                  <c:v>75.384615384615387</c:v>
                </c:pt>
                <c:pt idx="39">
                  <c:v>68.846153846153854</c:v>
                </c:pt>
                <c:pt idx="40">
                  <c:v>62.307692307692321</c:v>
                </c:pt>
                <c:pt idx="41">
                  <c:v>55.769230769230781</c:v>
                </c:pt>
                <c:pt idx="42">
                  <c:v>49.230769230769241</c:v>
                </c:pt>
                <c:pt idx="43">
                  <c:v>42.692307692307701</c:v>
                </c:pt>
                <c:pt idx="44">
                  <c:v>36.15384615384616</c:v>
                </c:pt>
                <c:pt idx="45">
                  <c:v>29.61538461538462</c:v>
                </c:pt>
                <c:pt idx="46">
                  <c:v>23.07692307692308</c:v>
                </c:pt>
                <c:pt idx="47">
                  <c:v>16.53846153846154</c:v>
                </c:pt>
                <c:pt idx="48">
                  <c:v>10</c:v>
                </c:pt>
                <c:pt idx="49">
                  <c:v>167.85714285714283</c:v>
                </c:pt>
                <c:pt idx="50">
                  <c:v>155.71428571428569</c:v>
                </c:pt>
                <c:pt idx="51">
                  <c:v>143.57142857142856</c:v>
                </c:pt>
                <c:pt idx="52">
                  <c:v>131.42857142857142</c:v>
                </c:pt>
                <c:pt idx="53">
                  <c:v>119.28571428571426</c:v>
                </c:pt>
                <c:pt idx="54">
                  <c:v>107.14285714285712</c:v>
                </c:pt>
                <c:pt idx="55">
                  <c:v>94.999999999999986</c:v>
                </c:pt>
                <c:pt idx="56">
                  <c:v>82.857142857142847</c:v>
                </c:pt>
                <c:pt idx="57">
                  <c:v>70.714285714285708</c:v>
                </c:pt>
                <c:pt idx="58">
                  <c:v>58.571428571428569</c:v>
                </c:pt>
                <c:pt idx="59">
                  <c:v>46.428571428571431</c:v>
                </c:pt>
                <c:pt idx="60">
                  <c:v>34.285714285714285</c:v>
                </c:pt>
                <c:pt idx="61">
                  <c:v>22.142857142857142</c:v>
                </c:pt>
                <c:pt idx="62">
                  <c:v>10</c:v>
                </c:pt>
                <c:pt idx="63">
                  <c:v>75</c:v>
                </c:pt>
                <c:pt idx="64">
                  <c:v>70</c:v>
                </c:pt>
                <c:pt idx="65">
                  <c:v>65</c:v>
                </c:pt>
                <c:pt idx="66">
                  <c:v>60</c:v>
                </c:pt>
                <c:pt idx="67">
                  <c:v>55</c:v>
                </c:pt>
                <c:pt idx="68">
                  <c:v>50</c:v>
                </c:pt>
                <c:pt idx="69">
                  <c:v>45</c:v>
                </c:pt>
                <c:pt idx="70">
                  <c:v>40</c:v>
                </c:pt>
                <c:pt idx="71">
                  <c:v>35</c:v>
                </c:pt>
                <c:pt idx="72">
                  <c:v>30</c:v>
                </c:pt>
                <c:pt idx="73">
                  <c:v>25</c:v>
                </c:pt>
                <c:pt idx="74">
                  <c:v>20</c:v>
                </c:pt>
                <c:pt idx="75">
                  <c:v>15</c:v>
                </c:pt>
                <c:pt idx="76">
                  <c:v>10</c:v>
                </c:pt>
                <c:pt idx="77">
                  <c:v>167.85714285714283</c:v>
                </c:pt>
                <c:pt idx="78">
                  <c:v>155.71428571428569</c:v>
                </c:pt>
                <c:pt idx="79">
                  <c:v>143.57142857142856</c:v>
                </c:pt>
                <c:pt idx="80">
                  <c:v>131.42857142857142</c:v>
                </c:pt>
                <c:pt idx="81">
                  <c:v>119.28571428571426</c:v>
                </c:pt>
                <c:pt idx="82">
                  <c:v>107.14285714285712</c:v>
                </c:pt>
                <c:pt idx="83">
                  <c:v>94.999999999999986</c:v>
                </c:pt>
                <c:pt idx="84">
                  <c:v>82.857142857142847</c:v>
                </c:pt>
                <c:pt idx="85">
                  <c:v>70.714285714285708</c:v>
                </c:pt>
                <c:pt idx="86">
                  <c:v>58.571428571428569</c:v>
                </c:pt>
                <c:pt idx="87">
                  <c:v>46.428571428571431</c:v>
                </c:pt>
                <c:pt idx="88">
                  <c:v>34.285714285714285</c:v>
                </c:pt>
                <c:pt idx="89">
                  <c:v>22.142857142857142</c:v>
                </c:pt>
                <c:pt idx="90">
                  <c:v>10</c:v>
                </c:pt>
                <c:pt idx="91">
                  <c:v>10</c:v>
                </c:pt>
                <c:pt idx="92">
                  <c:v>28.333333333333332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Cement!$R$2</c:f>
              <c:strCache>
                <c:ptCount val="1"/>
                <c:pt idx="0">
                  <c:v>Proj Stock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Cement!$A$3:$A$95</c:f>
              <c:numCache>
                <c:formatCode>d\-mmm\-yy</c:formatCode>
                <c:ptCount val="93"/>
                <c:pt idx="0">
                  <c:v>41300</c:v>
                </c:pt>
                <c:pt idx="1">
                  <c:v>41301</c:v>
                </c:pt>
                <c:pt idx="2">
                  <c:v>41302</c:v>
                </c:pt>
                <c:pt idx="3">
                  <c:v>41303</c:v>
                </c:pt>
                <c:pt idx="4">
                  <c:v>41304</c:v>
                </c:pt>
                <c:pt idx="5">
                  <c:v>41305</c:v>
                </c:pt>
                <c:pt idx="6">
                  <c:v>41306</c:v>
                </c:pt>
                <c:pt idx="7">
                  <c:v>41307</c:v>
                </c:pt>
                <c:pt idx="8">
                  <c:v>41308</c:v>
                </c:pt>
                <c:pt idx="9">
                  <c:v>41309</c:v>
                </c:pt>
                <c:pt idx="10">
                  <c:v>41310</c:v>
                </c:pt>
                <c:pt idx="11">
                  <c:v>41311</c:v>
                </c:pt>
                <c:pt idx="12">
                  <c:v>41312</c:v>
                </c:pt>
                <c:pt idx="13">
                  <c:v>41313</c:v>
                </c:pt>
                <c:pt idx="14">
                  <c:v>41314</c:v>
                </c:pt>
                <c:pt idx="15">
                  <c:v>41315</c:v>
                </c:pt>
                <c:pt idx="16">
                  <c:v>41316</c:v>
                </c:pt>
                <c:pt idx="17">
                  <c:v>41317</c:v>
                </c:pt>
                <c:pt idx="18">
                  <c:v>41318</c:v>
                </c:pt>
                <c:pt idx="19">
                  <c:v>41319</c:v>
                </c:pt>
                <c:pt idx="20">
                  <c:v>41320</c:v>
                </c:pt>
                <c:pt idx="21">
                  <c:v>41321</c:v>
                </c:pt>
                <c:pt idx="22">
                  <c:v>41322</c:v>
                </c:pt>
                <c:pt idx="23">
                  <c:v>41323</c:v>
                </c:pt>
                <c:pt idx="24">
                  <c:v>41324</c:v>
                </c:pt>
                <c:pt idx="25">
                  <c:v>41325</c:v>
                </c:pt>
                <c:pt idx="26">
                  <c:v>41326</c:v>
                </c:pt>
                <c:pt idx="27">
                  <c:v>41327</c:v>
                </c:pt>
                <c:pt idx="28">
                  <c:v>41328</c:v>
                </c:pt>
                <c:pt idx="29">
                  <c:v>41329</c:v>
                </c:pt>
                <c:pt idx="30">
                  <c:v>41330</c:v>
                </c:pt>
                <c:pt idx="31">
                  <c:v>41331</c:v>
                </c:pt>
                <c:pt idx="32">
                  <c:v>41332</c:v>
                </c:pt>
                <c:pt idx="33">
                  <c:v>41333</c:v>
                </c:pt>
                <c:pt idx="34">
                  <c:v>41334</c:v>
                </c:pt>
                <c:pt idx="35">
                  <c:v>41335</c:v>
                </c:pt>
                <c:pt idx="36">
                  <c:v>41336</c:v>
                </c:pt>
                <c:pt idx="37">
                  <c:v>41337</c:v>
                </c:pt>
                <c:pt idx="38">
                  <c:v>41338</c:v>
                </c:pt>
                <c:pt idx="39">
                  <c:v>41339</c:v>
                </c:pt>
                <c:pt idx="40">
                  <c:v>41340</c:v>
                </c:pt>
                <c:pt idx="41">
                  <c:v>41341</c:v>
                </c:pt>
                <c:pt idx="42">
                  <c:v>41342</c:v>
                </c:pt>
                <c:pt idx="43">
                  <c:v>41343</c:v>
                </c:pt>
                <c:pt idx="44">
                  <c:v>41344</c:v>
                </c:pt>
                <c:pt idx="45">
                  <c:v>41345</c:v>
                </c:pt>
                <c:pt idx="46">
                  <c:v>41346</c:v>
                </c:pt>
                <c:pt idx="47">
                  <c:v>41347</c:v>
                </c:pt>
                <c:pt idx="48">
                  <c:v>41348</c:v>
                </c:pt>
                <c:pt idx="49">
                  <c:v>41349</c:v>
                </c:pt>
                <c:pt idx="50">
                  <c:v>41350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41356</c:v>
                </c:pt>
                <c:pt idx="57">
                  <c:v>41357</c:v>
                </c:pt>
                <c:pt idx="58">
                  <c:v>41358</c:v>
                </c:pt>
                <c:pt idx="59">
                  <c:v>41359</c:v>
                </c:pt>
                <c:pt idx="60">
                  <c:v>41360</c:v>
                </c:pt>
                <c:pt idx="61">
                  <c:v>41361</c:v>
                </c:pt>
                <c:pt idx="62">
                  <c:v>41362</c:v>
                </c:pt>
                <c:pt idx="63">
                  <c:v>41363</c:v>
                </c:pt>
                <c:pt idx="64">
                  <c:v>41364</c:v>
                </c:pt>
                <c:pt idx="65">
                  <c:v>41365</c:v>
                </c:pt>
                <c:pt idx="66">
                  <c:v>41366</c:v>
                </c:pt>
                <c:pt idx="67">
                  <c:v>41367</c:v>
                </c:pt>
                <c:pt idx="68">
                  <c:v>41368</c:v>
                </c:pt>
                <c:pt idx="69">
                  <c:v>41369</c:v>
                </c:pt>
                <c:pt idx="70">
                  <c:v>41370</c:v>
                </c:pt>
                <c:pt idx="71">
                  <c:v>41371</c:v>
                </c:pt>
                <c:pt idx="72">
                  <c:v>41372</c:v>
                </c:pt>
                <c:pt idx="73">
                  <c:v>41373</c:v>
                </c:pt>
                <c:pt idx="74">
                  <c:v>41374</c:v>
                </c:pt>
                <c:pt idx="75">
                  <c:v>41375</c:v>
                </c:pt>
                <c:pt idx="76">
                  <c:v>41376</c:v>
                </c:pt>
                <c:pt idx="77">
                  <c:v>41377</c:v>
                </c:pt>
                <c:pt idx="78">
                  <c:v>41378</c:v>
                </c:pt>
                <c:pt idx="79">
                  <c:v>41379</c:v>
                </c:pt>
                <c:pt idx="80">
                  <c:v>41380</c:v>
                </c:pt>
                <c:pt idx="81">
                  <c:v>41381</c:v>
                </c:pt>
                <c:pt idx="82">
                  <c:v>41382</c:v>
                </c:pt>
                <c:pt idx="83">
                  <c:v>41383</c:v>
                </c:pt>
                <c:pt idx="84">
                  <c:v>41384</c:v>
                </c:pt>
                <c:pt idx="85">
                  <c:v>41385</c:v>
                </c:pt>
                <c:pt idx="86">
                  <c:v>41386</c:v>
                </c:pt>
                <c:pt idx="87">
                  <c:v>41387</c:v>
                </c:pt>
                <c:pt idx="88">
                  <c:v>41388</c:v>
                </c:pt>
                <c:pt idx="89">
                  <c:v>41389</c:v>
                </c:pt>
                <c:pt idx="90">
                  <c:v>41390</c:v>
                </c:pt>
                <c:pt idx="91">
                  <c:v>41391</c:v>
                </c:pt>
                <c:pt idx="92">
                  <c:v>41392</c:v>
                </c:pt>
              </c:numCache>
            </c:numRef>
          </c:cat>
          <c:val>
            <c:numRef>
              <c:f>Cement!$R$3:$R$95</c:f>
              <c:numCache>
                <c:formatCode>General</c:formatCode>
                <c:ptCount val="9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181.57894736842104</c:v>
                </c:pt>
                <c:pt idx="24">
                  <c:v>173.15789473684208</c:v>
                </c:pt>
                <c:pt idx="25">
                  <c:v>164.73684210526312</c:v>
                </c:pt>
                <c:pt idx="26">
                  <c:v>156.31578947368416</c:v>
                </c:pt>
                <c:pt idx="27">
                  <c:v>147.8947368421052</c:v>
                </c:pt>
                <c:pt idx="28">
                  <c:v>139.47368421052624</c:v>
                </c:pt>
                <c:pt idx="29">
                  <c:v>131.05263157894728</c:v>
                </c:pt>
                <c:pt idx="30">
                  <c:v>122.63157894736834</c:v>
                </c:pt>
                <c:pt idx="31">
                  <c:v>114.21052631578939</c:v>
                </c:pt>
                <c:pt idx="32">
                  <c:v>105.78947368421045</c:v>
                </c:pt>
                <c:pt idx="33">
                  <c:v>97.368421052631504</c:v>
                </c:pt>
                <c:pt idx="34">
                  <c:v>88.947368421052559</c:v>
                </c:pt>
                <c:pt idx="35">
                  <c:v>80.526315789473614</c:v>
                </c:pt>
                <c:pt idx="36">
                  <c:v>72.105263157894669</c:v>
                </c:pt>
                <c:pt idx="37">
                  <c:v>63.684210526315724</c:v>
                </c:pt>
                <c:pt idx="38">
                  <c:v>55.263157894736779</c:v>
                </c:pt>
                <c:pt idx="39">
                  <c:v>46.842105263157833</c:v>
                </c:pt>
                <c:pt idx="40">
                  <c:v>38.421052631578888</c:v>
                </c:pt>
                <c:pt idx="41">
                  <c:v>29.999999999999943</c:v>
                </c:pt>
                <c:pt idx="42">
                  <c:v>183.33333333333329</c:v>
                </c:pt>
                <c:pt idx="43">
                  <c:v>156.66666666666663</c:v>
                </c:pt>
                <c:pt idx="44">
                  <c:v>129.99999999999997</c:v>
                </c:pt>
                <c:pt idx="45">
                  <c:v>119.99999999999997</c:v>
                </c:pt>
                <c:pt idx="46">
                  <c:v>109.99999999999997</c:v>
                </c:pt>
                <c:pt idx="47">
                  <c:v>99.999999999999972</c:v>
                </c:pt>
                <c:pt idx="48">
                  <c:v>89.999999999999972</c:v>
                </c:pt>
                <c:pt idx="49">
                  <c:v>78.571428571428541</c:v>
                </c:pt>
                <c:pt idx="50">
                  <c:v>67.14285714285711</c:v>
                </c:pt>
                <c:pt idx="51">
                  <c:v>55.71428571428568</c:v>
                </c:pt>
                <c:pt idx="52">
                  <c:v>44.285714285714249</c:v>
                </c:pt>
                <c:pt idx="53">
                  <c:v>32.857142857142819</c:v>
                </c:pt>
                <c:pt idx="54">
                  <c:v>201.42857142857142</c:v>
                </c:pt>
                <c:pt idx="55">
                  <c:v>190</c:v>
                </c:pt>
                <c:pt idx="56">
                  <c:v>178.57142857142858</c:v>
                </c:pt>
                <c:pt idx="57">
                  <c:v>167.14285714285717</c:v>
                </c:pt>
                <c:pt idx="58">
                  <c:v>155.71428571428575</c:v>
                </c:pt>
                <c:pt idx="59">
                  <c:v>144.28571428571433</c:v>
                </c:pt>
                <c:pt idx="60">
                  <c:v>132.85714285714292</c:v>
                </c:pt>
                <c:pt idx="61">
                  <c:v>121.42857142857149</c:v>
                </c:pt>
                <c:pt idx="62">
                  <c:v>110.00000000000006</c:v>
                </c:pt>
                <c:pt idx="63">
                  <c:v>105.71428571428577</c:v>
                </c:pt>
                <c:pt idx="64">
                  <c:v>101.42857142857147</c:v>
                </c:pt>
                <c:pt idx="65">
                  <c:v>97.142857142857181</c:v>
                </c:pt>
                <c:pt idx="66">
                  <c:v>92.85714285714289</c:v>
                </c:pt>
                <c:pt idx="67">
                  <c:v>88.571428571428598</c:v>
                </c:pt>
                <c:pt idx="68">
                  <c:v>84.285714285714306</c:v>
                </c:pt>
                <c:pt idx="69">
                  <c:v>80.000000000000014</c:v>
                </c:pt>
                <c:pt idx="70">
                  <c:v>75.714285714285722</c:v>
                </c:pt>
                <c:pt idx="71">
                  <c:v>71.428571428571431</c:v>
                </c:pt>
                <c:pt idx="72">
                  <c:v>67.142857142857139</c:v>
                </c:pt>
                <c:pt idx="73">
                  <c:v>62.857142857142854</c:v>
                </c:pt>
                <c:pt idx="74">
                  <c:v>58.571428571428569</c:v>
                </c:pt>
                <c:pt idx="75">
                  <c:v>54.285714285714285</c:v>
                </c:pt>
                <c:pt idx="76">
                  <c:v>50</c:v>
                </c:pt>
                <c:pt idx="77">
                  <c:v>38.571428571428569</c:v>
                </c:pt>
                <c:pt idx="78">
                  <c:v>87.142857142857139</c:v>
                </c:pt>
                <c:pt idx="79">
                  <c:v>75.714285714285708</c:v>
                </c:pt>
                <c:pt idx="80">
                  <c:v>64.285714285714278</c:v>
                </c:pt>
                <c:pt idx="81">
                  <c:v>52.857142857142847</c:v>
                </c:pt>
                <c:pt idx="82">
                  <c:v>41.428571428571416</c:v>
                </c:pt>
                <c:pt idx="83">
                  <c:v>29.999999999999986</c:v>
                </c:pt>
                <c:pt idx="84">
                  <c:v>18.571428571428555</c:v>
                </c:pt>
                <c:pt idx="85">
                  <c:v>187.14285714285714</c:v>
                </c:pt>
                <c:pt idx="86">
                  <c:v>175.71428571428572</c:v>
                </c:pt>
                <c:pt idx="87">
                  <c:v>164.28571428571431</c:v>
                </c:pt>
                <c:pt idx="88">
                  <c:v>152.85714285714289</c:v>
                </c:pt>
                <c:pt idx="89">
                  <c:v>141.42857142857147</c:v>
                </c:pt>
                <c:pt idx="90">
                  <c:v>130.00000000000006</c:v>
                </c:pt>
                <c:pt idx="91">
                  <c:v>10.000000000000057</c:v>
                </c:pt>
                <c:pt idx="92">
                  <c:v>5.0000000000000568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33768"/>
        <c:axId val="378433376"/>
      </c:lineChart>
      <c:dateAx>
        <c:axId val="378433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33376"/>
        <c:crosses val="autoZero"/>
        <c:auto val="1"/>
        <c:lblOffset val="100"/>
        <c:baseTimeUnit val="days"/>
      </c:dateAx>
      <c:valAx>
        <c:axId val="37843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3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Cement Demand vs Price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Cement!$H$26</c:f>
              <c:strCache>
                <c:ptCount val="1"/>
                <c:pt idx="0">
                  <c:v>P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Cement!$G$27:$G$31</c:f>
              <c:numCache>
                <c:formatCode>General</c:formatCode>
                <c:ptCount val="5"/>
                <c:pt idx="0">
                  <c:v>45</c:v>
                </c:pt>
                <c:pt idx="1">
                  <c:v>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xVal>
          <c:yVal>
            <c:numRef>
              <c:f>Cement!$H$27:$H$31</c:f>
              <c:numCache>
                <c:formatCode>General</c:formatCode>
                <c:ptCount val="5"/>
                <c:pt idx="0">
                  <c:v>350</c:v>
                </c:pt>
                <c:pt idx="1">
                  <c:v>350</c:v>
                </c:pt>
                <c:pt idx="2">
                  <c:v>330</c:v>
                </c:pt>
                <c:pt idx="3">
                  <c:v>325</c:v>
                </c:pt>
                <c:pt idx="4">
                  <c:v>332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436904"/>
        <c:axId val="378434944"/>
      </c:scatterChart>
      <c:valAx>
        <c:axId val="378436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34944"/>
        <c:crosses val="autoZero"/>
        <c:crossBetween val="midCat"/>
      </c:valAx>
      <c:valAx>
        <c:axId val="37843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36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Cement!$D$2</c:f>
              <c:strCache>
                <c:ptCount val="1"/>
                <c:pt idx="0">
                  <c:v>Stock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Cement!$A$3:$A$95</c:f>
              <c:numCache>
                <c:formatCode>d\-mmm\-yy</c:formatCode>
                <c:ptCount val="93"/>
                <c:pt idx="0">
                  <c:v>41300</c:v>
                </c:pt>
                <c:pt idx="1">
                  <c:v>41301</c:v>
                </c:pt>
                <c:pt idx="2">
                  <c:v>41302</c:v>
                </c:pt>
                <c:pt idx="3">
                  <c:v>41303</c:v>
                </c:pt>
                <c:pt idx="4">
                  <c:v>41304</c:v>
                </c:pt>
                <c:pt idx="5">
                  <c:v>41305</c:v>
                </c:pt>
                <c:pt idx="6">
                  <c:v>41306</c:v>
                </c:pt>
                <c:pt idx="7">
                  <c:v>41307</c:v>
                </c:pt>
                <c:pt idx="8">
                  <c:v>41308</c:v>
                </c:pt>
                <c:pt idx="9">
                  <c:v>41309</c:v>
                </c:pt>
                <c:pt idx="10">
                  <c:v>41310</c:v>
                </c:pt>
                <c:pt idx="11">
                  <c:v>41311</c:v>
                </c:pt>
                <c:pt idx="12">
                  <c:v>41312</c:v>
                </c:pt>
                <c:pt idx="13">
                  <c:v>41313</c:v>
                </c:pt>
                <c:pt idx="14">
                  <c:v>41314</c:v>
                </c:pt>
                <c:pt idx="15">
                  <c:v>41315</c:v>
                </c:pt>
                <c:pt idx="16">
                  <c:v>41316</c:v>
                </c:pt>
                <c:pt idx="17">
                  <c:v>41317</c:v>
                </c:pt>
                <c:pt idx="18">
                  <c:v>41318</c:v>
                </c:pt>
                <c:pt idx="19">
                  <c:v>41319</c:v>
                </c:pt>
                <c:pt idx="20">
                  <c:v>41320</c:v>
                </c:pt>
                <c:pt idx="21">
                  <c:v>41321</c:v>
                </c:pt>
                <c:pt idx="22">
                  <c:v>41322</c:v>
                </c:pt>
                <c:pt idx="23">
                  <c:v>41323</c:v>
                </c:pt>
                <c:pt idx="24">
                  <c:v>41324</c:v>
                </c:pt>
                <c:pt idx="25">
                  <c:v>41325</c:v>
                </c:pt>
                <c:pt idx="26">
                  <c:v>41326</c:v>
                </c:pt>
                <c:pt idx="27">
                  <c:v>41327</c:v>
                </c:pt>
                <c:pt idx="28">
                  <c:v>41328</c:v>
                </c:pt>
                <c:pt idx="29">
                  <c:v>41329</c:v>
                </c:pt>
                <c:pt idx="30">
                  <c:v>41330</c:v>
                </c:pt>
                <c:pt idx="31">
                  <c:v>41331</c:v>
                </c:pt>
                <c:pt idx="32">
                  <c:v>41332</c:v>
                </c:pt>
                <c:pt idx="33">
                  <c:v>41333</c:v>
                </c:pt>
                <c:pt idx="34">
                  <c:v>41334</c:v>
                </c:pt>
                <c:pt idx="35">
                  <c:v>41335</c:v>
                </c:pt>
                <c:pt idx="36">
                  <c:v>41336</c:v>
                </c:pt>
                <c:pt idx="37">
                  <c:v>41337</c:v>
                </c:pt>
                <c:pt idx="38">
                  <c:v>41338</c:v>
                </c:pt>
                <c:pt idx="39">
                  <c:v>41339</c:v>
                </c:pt>
                <c:pt idx="40">
                  <c:v>41340</c:v>
                </c:pt>
                <c:pt idx="41">
                  <c:v>41341</c:v>
                </c:pt>
                <c:pt idx="42">
                  <c:v>41342</c:v>
                </c:pt>
                <c:pt idx="43">
                  <c:v>41343</c:v>
                </c:pt>
                <c:pt idx="44">
                  <c:v>41344</c:v>
                </c:pt>
                <c:pt idx="45">
                  <c:v>41345</c:v>
                </c:pt>
                <c:pt idx="46">
                  <c:v>41346</c:v>
                </c:pt>
                <c:pt idx="47">
                  <c:v>41347</c:v>
                </c:pt>
                <c:pt idx="48">
                  <c:v>41348</c:v>
                </c:pt>
                <c:pt idx="49">
                  <c:v>41349</c:v>
                </c:pt>
                <c:pt idx="50">
                  <c:v>41350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41356</c:v>
                </c:pt>
                <c:pt idx="57">
                  <c:v>41357</c:v>
                </c:pt>
                <c:pt idx="58">
                  <c:v>41358</c:v>
                </c:pt>
                <c:pt idx="59">
                  <c:v>41359</c:v>
                </c:pt>
                <c:pt idx="60">
                  <c:v>41360</c:v>
                </c:pt>
                <c:pt idx="61">
                  <c:v>41361</c:v>
                </c:pt>
                <c:pt idx="62">
                  <c:v>41362</c:v>
                </c:pt>
                <c:pt idx="63">
                  <c:v>41363</c:v>
                </c:pt>
                <c:pt idx="64">
                  <c:v>41364</c:v>
                </c:pt>
                <c:pt idx="65">
                  <c:v>41365</c:v>
                </c:pt>
                <c:pt idx="66">
                  <c:v>41366</c:v>
                </c:pt>
                <c:pt idx="67">
                  <c:v>41367</c:v>
                </c:pt>
                <c:pt idx="68">
                  <c:v>41368</c:v>
                </c:pt>
                <c:pt idx="69">
                  <c:v>41369</c:v>
                </c:pt>
                <c:pt idx="70">
                  <c:v>41370</c:v>
                </c:pt>
                <c:pt idx="71">
                  <c:v>41371</c:v>
                </c:pt>
                <c:pt idx="72">
                  <c:v>41372</c:v>
                </c:pt>
                <c:pt idx="73">
                  <c:v>41373</c:v>
                </c:pt>
                <c:pt idx="74">
                  <c:v>41374</c:v>
                </c:pt>
                <c:pt idx="75">
                  <c:v>41375</c:v>
                </c:pt>
                <c:pt idx="76">
                  <c:v>41376</c:v>
                </c:pt>
                <c:pt idx="77">
                  <c:v>41377</c:v>
                </c:pt>
                <c:pt idx="78">
                  <c:v>41378</c:v>
                </c:pt>
                <c:pt idx="79">
                  <c:v>41379</c:v>
                </c:pt>
                <c:pt idx="80">
                  <c:v>41380</c:v>
                </c:pt>
                <c:pt idx="81">
                  <c:v>41381</c:v>
                </c:pt>
                <c:pt idx="82">
                  <c:v>41382</c:v>
                </c:pt>
                <c:pt idx="83">
                  <c:v>41383</c:v>
                </c:pt>
                <c:pt idx="84">
                  <c:v>41384</c:v>
                </c:pt>
                <c:pt idx="85">
                  <c:v>41385</c:v>
                </c:pt>
                <c:pt idx="86">
                  <c:v>41386</c:v>
                </c:pt>
                <c:pt idx="87">
                  <c:v>41387</c:v>
                </c:pt>
                <c:pt idx="88">
                  <c:v>41388</c:v>
                </c:pt>
                <c:pt idx="89">
                  <c:v>41389</c:v>
                </c:pt>
                <c:pt idx="90">
                  <c:v>41390</c:v>
                </c:pt>
                <c:pt idx="91">
                  <c:v>41391</c:v>
                </c:pt>
                <c:pt idx="92">
                  <c:v>41392</c:v>
                </c:pt>
              </c:numCache>
            </c:numRef>
          </c:cat>
          <c:val>
            <c:numRef>
              <c:f>Cement!$D$3:$D$95</c:f>
              <c:numCache>
                <c:formatCode>0</c:formatCode>
                <c:ptCount val="9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173.46153846153848</c:v>
                </c:pt>
                <c:pt idx="24">
                  <c:v>166.92307692307693</c:v>
                </c:pt>
                <c:pt idx="25">
                  <c:v>160.38461538461539</c:v>
                </c:pt>
                <c:pt idx="26">
                  <c:v>153.84615384615384</c:v>
                </c:pt>
                <c:pt idx="27">
                  <c:v>147.30769230769229</c:v>
                </c:pt>
                <c:pt idx="28">
                  <c:v>140.76923076923075</c:v>
                </c:pt>
                <c:pt idx="29">
                  <c:v>134.2307692307692</c:v>
                </c:pt>
                <c:pt idx="30">
                  <c:v>127.69230769230765</c:v>
                </c:pt>
                <c:pt idx="31">
                  <c:v>121.15384615384612</c:v>
                </c:pt>
                <c:pt idx="32">
                  <c:v>114.61538461538458</c:v>
                </c:pt>
                <c:pt idx="33">
                  <c:v>108.07692307692305</c:v>
                </c:pt>
                <c:pt idx="34">
                  <c:v>101.53846153846152</c:v>
                </c:pt>
                <c:pt idx="35">
                  <c:v>94.999999999999986</c:v>
                </c:pt>
                <c:pt idx="36">
                  <c:v>88.461538461538453</c:v>
                </c:pt>
                <c:pt idx="37">
                  <c:v>81.92307692307692</c:v>
                </c:pt>
                <c:pt idx="38">
                  <c:v>75.384615384615387</c:v>
                </c:pt>
                <c:pt idx="39">
                  <c:v>68.846153846153854</c:v>
                </c:pt>
                <c:pt idx="40">
                  <c:v>62.307692307692321</c:v>
                </c:pt>
                <c:pt idx="41">
                  <c:v>55.769230769230781</c:v>
                </c:pt>
                <c:pt idx="42">
                  <c:v>49.230769230769241</c:v>
                </c:pt>
                <c:pt idx="43">
                  <c:v>42.692307692307701</c:v>
                </c:pt>
                <c:pt idx="44">
                  <c:v>36.15384615384616</c:v>
                </c:pt>
                <c:pt idx="45">
                  <c:v>29.61538461538462</c:v>
                </c:pt>
                <c:pt idx="46">
                  <c:v>23.07692307692308</c:v>
                </c:pt>
                <c:pt idx="47">
                  <c:v>16.53846153846154</c:v>
                </c:pt>
                <c:pt idx="48">
                  <c:v>10</c:v>
                </c:pt>
                <c:pt idx="49">
                  <c:v>167.85714285714283</c:v>
                </c:pt>
                <c:pt idx="50">
                  <c:v>155.71428571428569</c:v>
                </c:pt>
                <c:pt idx="51">
                  <c:v>143.57142857142856</c:v>
                </c:pt>
                <c:pt idx="52">
                  <c:v>131.42857142857142</c:v>
                </c:pt>
                <c:pt idx="53">
                  <c:v>119.28571428571426</c:v>
                </c:pt>
                <c:pt idx="54">
                  <c:v>107.14285714285712</c:v>
                </c:pt>
                <c:pt idx="55">
                  <c:v>94.999999999999986</c:v>
                </c:pt>
                <c:pt idx="56">
                  <c:v>82.857142857142847</c:v>
                </c:pt>
                <c:pt idx="57">
                  <c:v>70.714285714285708</c:v>
                </c:pt>
                <c:pt idx="58">
                  <c:v>58.571428571428569</c:v>
                </c:pt>
                <c:pt idx="59">
                  <c:v>46.428571428571431</c:v>
                </c:pt>
                <c:pt idx="60">
                  <c:v>34.285714285714285</c:v>
                </c:pt>
                <c:pt idx="61">
                  <c:v>22.142857142857142</c:v>
                </c:pt>
                <c:pt idx="62">
                  <c:v>10</c:v>
                </c:pt>
                <c:pt idx="63">
                  <c:v>75</c:v>
                </c:pt>
                <c:pt idx="64">
                  <c:v>70</c:v>
                </c:pt>
                <c:pt idx="65">
                  <c:v>65</c:v>
                </c:pt>
                <c:pt idx="66">
                  <c:v>60</c:v>
                </c:pt>
                <c:pt idx="67">
                  <c:v>55</c:v>
                </c:pt>
                <c:pt idx="68">
                  <c:v>50</c:v>
                </c:pt>
                <c:pt idx="69">
                  <c:v>45</c:v>
                </c:pt>
                <c:pt idx="70">
                  <c:v>40</c:v>
                </c:pt>
                <c:pt idx="71">
                  <c:v>35</c:v>
                </c:pt>
                <c:pt idx="72">
                  <c:v>30</c:v>
                </c:pt>
                <c:pt idx="73">
                  <c:v>25</c:v>
                </c:pt>
                <c:pt idx="74">
                  <c:v>20</c:v>
                </c:pt>
                <c:pt idx="75">
                  <c:v>15</c:v>
                </c:pt>
                <c:pt idx="76">
                  <c:v>10</c:v>
                </c:pt>
                <c:pt idx="77">
                  <c:v>167.85714285714283</c:v>
                </c:pt>
                <c:pt idx="78">
                  <c:v>155.71428571428569</c:v>
                </c:pt>
                <c:pt idx="79">
                  <c:v>143.57142857142856</c:v>
                </c:pt>
                <c:pt idx="80">
                  <c:v>131.42857142857142</c:v>
                </c:pt>
                <c:pt idx="81">
                  <c:v>119.28571428571426</c:v>
                </c:pt>
                <c:pt idx="82">
                  <c:v>107.14285714285712</c:v>
                </c:pt>
                <c:pt idx="83">
                  <c:v>94.999999999999986</c:v>
                </c:pt>
                <c:pt idx="84">
                  <c:v>82.857142857142847</c:v>
                </c:pt>
                <c:pt idx="85">
                  <c:v>70.714285714285708</c:v>
                </c:pt>
                <c:pt idx="86">
                  <c:v>58.571428571428569</c:v>
                </c:pt>
                <c:pt idx="87">
                  <c:v>46.428571428571431</c:v>
                </c:pt>
                <c:pt idx="88">
                  <c:v>34.285714285714285</c:v>
                </c:pt>
                <c:pt idx="89">
                  <c:v>22.142857142857142</c:v>
                </c:pt>
                <c:pt idx="90">
                  <c:v>10</c:v>
                </c:pt>
                <c:pt idx="91">
                  <c:v>10</c:v>
                </c:pt>
                <c:pt idx="92">
                  <c:v>28.333333333333332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Cement!$R$2</c:f>
              <c:strCache>
                <c:ptCount val="1"/>
                <c:pt idx="0">
                  <c:v>Proj Stock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Cement!$A$3:$A$95</c:f>
              <c:numCache>
                <c:formatCode>d\-mmm\-yy</c:formatCode>
                <c:ptCount val="93"/>
                <c:pt idx="0">
                  <c:v>41300</c:v>
                </c:pt>
                <c:pt idx="1">
                  <c:v>41301</c:v>
                </c:pt>
                <c:pt idx="2">
                  <c:v>41302</c:v>
                </c:pt>
                <c:pt idx="3">
                  <c:v>41303</c:v>
                </c:pt>
                <c:pt idx="4">
                  <c:v>41304</c:v>
                </c:pt>
                <c:pt idx="5">
                  <c:v>41305</c:v>
                </c:pt>
                <c:pt idx="6">
                  <c:v>41306</c:v>
                </c:pt>
                <c:pt idx="7">
                  <c:v>41307</c:v>
                </c:pt>
                <c:pt idx="8">
                  <c:v>41308</c:v>
                </c:pt>
                <c:pt idx="9">
                  <c:v>41309</c:v>
                </c:pt>
                <c:pt idx="10">
                  <c:v>41310</c:v>
                </c:pt>
                <c:pt idx="11">
                  <c:v>41311</c:v>
                </c:pt>
                <c:pt idx="12">
                  <c:v>41312</c:v>
                </c:pt>
                <c:pt idx="13">
                  <c:v>41313</c:v>
                </c:pt>
                <c:pt idx="14">
                  <c:v>41314</c:v>
                </c:pt>
                <c:pt idx="15">
                  <c:v>41315</c:v>
                </c:pt>
                <c:pt idx="16">
                  <c:v>41316</c:v>
                </c:pt>
                <c:pt idx="17">
                  <c:v>41317</c:v>
                </c:pt>
                <c:pt idx="18">
                  <c:v>41318</c:v>
                </c:pt>
                <c:pt idx="19">
                  <c:v>41319</c:v>
                </c:pt>
                <c:pt idx="20">
                  <c:v>41320</c:v>
                </c:pt>
                <c:pt idx="21">
                  <c:v>41321</c:v>
                </c:pt>
                <c:pt idx="22">
                  <c:v>41322</c:v>
                </c:pt>
                <c:pt idx="23">
                  <c:v>41323</c:v>
                </c:pt>
                <c:pt idx="24">
                  <c:v>41324</c:v>
                </c:pt>
                <c:pt idx="25">
                  <c:v>41325</c:v>
                </c:pt>
                <c:pt idx="26">
                  <c:v>41326</c:v>
                </c:pt>
                <c:pt idx="27">
                  <c:v>41327</c:v>
                </c:pt>
                <c:pt idx="28">
                  <c:v>41328</c:v>
                </c:pt>
                <c:pt idx="29">
                  <c:v>41329</c:v>
                </c:pt>
                <c:pt idx="30">
                  <c:v>41330</c:v>
                </c:pt>
                <c:pt idx="31">
                  <c:v>41331</c:v>
                </c:pt>
                <c:pt idx="32">
                  <c:v>41332</c:v>
                </c:pt>
                <c:pt idx="33">
                  <c:v>41333</c:v>
                </c:pt>
                <c:pt idx="34">
                  <c:v>41334</c:v>
                </c:pt>
                <c:pt idx="35">
                  <c:v>41335</c:v>
                </c:pt>
                <c:pt idx="36">
                  <c:v>41336</c:v>
                </c:pt>
                <c:pt idx="37">
                  <c:v>41337</c:v>
                </c:pt>
                <c:pt idx="38">
                  <c:v>41338</c:v>
                </c:pt>
                <c:pt idx="39">
                  <c:v>41339</c:v>
                </c:pt>
                <c:pt idx="40">
                  <c:v>41340</c:v>
                </c:pt>
                <c:pt idx="41">
                  <c:v>41341</c:v>
                </c:pt>
                <c:pt idx="42">
                  <c:v>41342</c:v>
                </c:pt>
                <c:pt idx="43">
                  <c:v>41343</c:v>
                </c:pt>
                <c:pt idx="44">
                  <c:v>41344</c:v>
                </c:pt>
                <c:pt idx="45">
                  <c:v>41345</c:v>
                </c:pt>
                <c:pt idx="46">
                  <c:v>41346</c:v>
                </c:pt>
                <c:pt idx="47">
                  <c:v>41347</c:v>
                </c:pt>
                <c:pt idx="48">
                  <c:v>41348</c:v>
                </c:pt>
                <c:pt idx="49">
                  <c:v>41349</c:v>
                </c:pt>
                <c:pt idx="50">
                  <c:v>41350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41356</c:v>
                </c:pt>
                <c:pt idx="57">
                  <c:v>41357</c:v>
                </c:pt>
                <c:pt idx="58">
                  <c:v>41358</c:v>
                </c:pt>
                <c:pt idx="59">
                  <c:v>41359</c:v>
                </c:pt>
                <c:pt idx="60">
                  <c:v>41360</c:v>
                </c:pt>
                <c:pt idx="61">
                  <c:v>41361</c:v>
                </c:pt>
                <c:pt idx="62">
                  <c:v>41362</c:v>
                </c:pt>
                <c:pt idx="63">
                  <c:v>41363</c:v>
                </c:pt>
                <c:pt idx="64">
                  <c:v>41364</c:v>
                </c:pt>
                <c:pt idx="65">
                  <c:v>41365</c:v>
                </c:pt>
                <c:pt idx="66">
                  <c:v>41366</c:v>
                </c:pt>
                <c:pt idx="67">
                  <c:v>41367</c:v>
                </c:pt>
                <c:pt idx="68">
                  <c:v>41368</c:v>
                </c:pt>
                <c:pt idx="69">
                  <c:v>41369</c:v>
                </c:pt>
                <c:pt idx="70">
                  <c:v>41370</c:v>
                </c:pt>
                <c:pt idx="71">
                  <c:v>41371</c:v>
                </c:pt>
                <c:pt idx="72">
                  <c:v>41372</c:v>
                </c:pt>
                <c:pt idx="73">
                  <c:v>41373</c:v>
                </c:pt>
                <c:pt idx="74">
                  <c:v>41374</c:v>
                </c:pt>
                <c:pt idx="75">
                  <c:v>41375</c:v>
                </c:pt>
                <c:pt idx="76">
                  <c:v>41376</c:v>
                </c:pt>
                <c:pt idx="77">
                  <c:v>41377</c:v>
                </c:pt>
                <c:pt idx="78">
                  <c:v>41378</c:v>
                </c:pt>
                <c:pt idx="79">
                  <c:v>41379</c:v>
                </c:pt>
                <c:pt idx="80">
                  <c:v>41380</c:v>
                </c:pt>
                <c:pt idx="81">
                  <c:v>41381</c:v>
                </c:pt>
                <c:pt idx="82">
                  <c:v>41382</c:v>
                </c:pt>
                <c:pt idx="83">
                  <c:v>41383</c:v>
                </c:pt>
                <c:pt idx="84">
                  <c:v>41384</c:v>
                </c:pt>
                <c:pt idx="85">
                  <c:v>41385</c:v>
                </c:pt>
                <c:pt idx="86">
                  <c:v>41386</c:v>
                </c:pt>
                <c:pt idx="87">
                  <c:v>41387</c:v>
                </c:pt>
                <c:pt idx="88">
                  <c:v>41388</c:v>
                </c:pt>
                <c:pt idx="89">
                  <c:v>41389</c:v>
                </c:pt>
                <c:pt idx="90">
                  <c:v>41390</c:v>
                </c:pt>
                <c:pt idx="91">
                  <c:v>41391</c:v>
                </c:pt>
                <c:pt idx="92">
                  <c:v>41392</c:v>
                </c:pt>
              </c:numCache>
            </c:numRef>
          </c:cat>
          <c:val>
            <c:numRef>
              <c:f>Cement!$R$3:$R$95</c:f>
              <c:numCache>
                <c:formatCode>General</c:formatCode>
                <c:ptCount val="93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181.57894736842104</c:v>
                </c:pt>
                <c:pt idx="24">
                  <c:v>173.15789473684208</c:v>
                </c:pt>
                <c:pt idx="25">
                  <c:v>164.73684210526312</c:v>
                </c:pt>
                <c:pt idx="26">
                  <c:v>156.31578947368416</c:v>
                </c:pt>
                <c:pt idx="27">
                  <c:v>147.8947368421052</c:v>
                </c:pt>
                <c:pt idx="28">
                  <c:v>139.47368421052624</c:v>
                </c:pt>
                <c:pt idx="29">
                  <c:v>131.05263157894728</c:v>
                </c:pt>
                <c:pt idx="30">
                  <c:v>122.63157894736834</c:v>
                </c:pt>
                <c:pt idx="31">
                  <c:v>114.21052631578939</c:v>
                </c:pt>
                <c:pt idx="32">
                  <c:v>105.78947368421045</c:v>
                </c:pt>
                <c:pt idx="33">
                  <c:v>97.368421052631504</c:v>
                </c:pt>
                <c:pt idx="34">
                  <c:v>88.947368421052559</c:v>
                </c:pt>
                <c:pt idx="35">
                  <c:v>80.526315789473614</c:v>
                </c:pt>
                <c:pt idx="36">
                  <c:v>72.105263157894669</c:v>
                </c:pt>
                <c:pt idx="37">
                  <c:v>63.684210526315724</c:v>
                </c:pt>
                <c:pt idx="38">
                  <c:v>55.263157894736779</c:v>
                </c:pt>
                <c:pt idx="39">
                  <c:v>46.842105263157833</c:v>
                </c:pt>
                <c:pt idx="40">
                  <c:v>38.421052631578888</c:v>
                </c:pt>
                <c:pt idx="41">
                  <c:v>29.999999999999943</c:v>
                </c:pt>
                <c:pt idx="42">
                  <c:v>183.33333333333329</c:v>
                </c:pt>
                <c:pt idx="43">
                  <c:v>156.66666666666663</c:v>
                </c:pt>
                <c:pt idx="44">
                  <c:v>129.99999999999997</c:v>
                </c:pt>
                <c:pt idx="45">
                  <c:v>119.99999999999997</c:v>
                </c:pt>
                <c:pt idx="46">
                  <c:v>109.99999999999997</c:v>
                </c:pt>
                <c:pt idx="47">
                  <c:v>99.999999999999972</c:v>
                </c:pt>
                <c:pt idx="48">
                  <c:v>89.999999999999972</c:v>
                </c:pt>
                <c:pt idx="49">
                  <c:v>78.571428571428541</c:v>
                </c:pt>
                <c:pt idx="50">
                  <c:v>67.14285714285711</c:v>
                </c:pt>
                <c:pt idx="51">
                  <c:v>55.71428571428568</c:v>
                </c:pt>
                <c:pt idx="52">
                  <c:v>44.285714285714249</c:v>
                </c:pt>
                <c:pt idx="53">
                  <c:v>32.857142857142819</c:v>
                </c:pt>
                <c:pt idx="54">
                  <c:v>201.42857142857142</c:v>
                </c:pt>
                <c:pt idx="55">
                  <c:v>190</c:v>
                </c:pt>
                <c:pt idx="56">
                  <c:v>178.57142857142858</c:v>
                </c:pt>
                <c:pt idx="57">
                  <c:v>167.14285714285717</c:v>
                </c:pt>
                <c:pt idx="58">
                  <c:v>155.71428571428575</c:v>
                </c:pt>
                <c:pt idx="59">
                  <c:v>144.28571428571433</c:v>
                </c:pt>
                <c:pt idx="60">
                  <c:v>132.85714285714292</c:v>
                </c:pt>
                <c:pt idx="61">
                  <c:v>121.42857142857149</c:v>
                </c:pt>
                <c:pt idx="62">
                  <c:v>110.00000000000006</c:v>
                </c:pt>
                <c:pt idx="63">
                  <c:v>105.71428571428577</c:v>
                </c:pt>
                <c:pt idx="64">
                  <c:v>101.42857142857147</c:v>
                </c:pt>
                <c:pt idx="65">
                  <c:v>97.142857142857181</c:v>
                </c:pt>
                <c:pt idx="66">
                  <c:v>92.85714285714289</c:v>
                </c:pt>
                <c:pt idx="67">
                  <c:v>88.571428571428598</c:v>
                </c:pt>
                <c:pt idx="68">
                  <c:v>84.285714285714306</c:v>
                </c:pt>
                <c:pt idx="69">
                  <c:v>80.000000000000014</c:v>
                </c:pt>
                <c:pt idx="70">
                  <c:v>75.714285714285722</c:v>
                </c:pt>
                <c:pt idx="71">
                  <c:v>71.428571428571431</c:v>
                </c:pt>
                <c:pt idx="72">
                  <c:v>67.142857142857139</c:v>
                </c:pt>
                <c:pt idx="73">
                  <c:v>62.857142857142854</c:v>
                </c:pt>
                <c:pt idx="74">
                  <c:v>58.571428571428569</c:v>
                </c:pt>
                <c:pt idx="75">
                  <c:v>54.285714285714285</c:v>
                </c:pt>
                <c:pt idx="76">
                  <c:v>50</c:v>
                </c:pt>
                <c:pt idx="77">
                  <c:v>38.571428571428569</c:v>
                </c:pt>
                <c:pt idx="78">
                  <c:v>87.142857142857139</c:v>
                </c:pt>
                <c:pt idx="79">
                  <c:v>75.714285714285708</c:v>
                </c:pt>
                <c:pt idx="80">
                  <c:v>64.285714285714278</c:v>
                </c:pt>
                <c:pt idx="81">
                  <c:v>52.857142857142847</c:v>
                </c:pt>
                <c:pt idx="82">
                  <c:v>41.428571428571416</c:v>
                </c:pt>
                <c:pt idx="83">
                  <c:v>29.999999999999986</c:v>
                </c:pt>
                <c:pt idx="84">
                  <c:v>18.571428571428555</c:v>
                </c:pt>
                <c:pt idx="85">
                  <c:v>187.14285714285714</c:v>
                </c:pt>
                <c:pt idx="86">
                  <c:v>175.71428571428572</c:v>
                </c:pt>
                <c:pt idx="87">
                  <c:v>164.28571428571431</c:v>
                </c:pt>
                <c:pt idx="88">
                  <c:v>152.85714285714289</c:v>
                </c:pt>
                <c:pt idx="89">
                  <c:v>141.42857142857147</c:v>
                </c:pt>
                <c:pt idx="90">
                  <c:v>130.00000000000006</c:v>
                </c:pt>
                <c:pt idx="91">
                  <c:v>10.000000000000057</c:v>
                </c:pt>
                <c:pt idx="92">
                  <c:v>5.0000000000000568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8435728"/>
        <c:axId val="378430632"/>
      </c:lineChart>
      <c:dateAx>
        <c:axId val="378435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30632"/>
        <c:crosses val="autoZero"/>
        <c:auto val="1"/>
        <c:lblOffset val="100"/>
        <c:baseTimeUnit val="days"/>
      </c:dateAx>
      <c:valAx>
        <c:axId val="37843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3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Cement Demand vs Price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Cement!$H$26</c:f>
              <c:strCache>
                <c:ptCount val="1"/>
                <c:pt idx="0">
                  <c:v>P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Cement!$G$27:$G$31</c:f>
              <c:numCache>
                <c:formatCode>General</c:formatCode>
                <c:ptCount val="5"/>
                <c:pt idx="0">
                  <c:v>45</c:v>
                </c:pt>
                <c:pt idx="1">
                  <c:v>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</c:numCache>
            </c:numRef>
          </c:xVal>
          <c:yVal>
            <c:numRef>
              <c:f>Cement!$H$27:$H$31</c:f>
              <c:numCache>
                <c:formatCode>General</c:formatCode>
                <c:ptCount val="5"/>
                <c:pt idx="0">
                  <c:v>350</c:v>
                </c:pt>
                <c:pt idx="1">
                  <c:v>350</c:v>
                </c:pt>
                <c:pt idx="2">
                  <c:v>330</c:v>
                </c:pt>
                <c:pt idx="3">
                  <c:v>325</c:v>
                </c:pt>
                <c:pt idx="4">
                  <c:v>332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424416"/>
        <c:axId val="466426376"/>
      </c:scatterChart>
      <c:valAx>
        <c:axId val="46642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26376"/>
        <c:crosses val="autoZero"/>
        <c:crossBetween val="midCat"/>
      </c:valAx>
      <c:valAx>
        <c:axId val="46642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2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2</xdr:row>
      <xdr:rowOff>161925</xdr:rowOff>
    </xdr:from>
    <xdr:to>
      <xdr:col>12</xdr:col>
      <xdr:colOff>0</xdr:colOff>
      <xdr:row>15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157162</xdr:colOff>
      <xdr:row>15</xdr:row>
      <xdr:rowOff>14287</xdr:rowOff>
    </xdr:from>
    <xdr:to>
      <xdr:col>10</xdr:col>
      <xdr:colOff>57150</xdr:colOff>
      <xdr:row>23</xdr:row>
      <xdr:rowOff>133350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2</xdr:row>
      <xdr:rowOff>161925</xdr:rowOff>
    </xdr:from>
    <xdr:to>
      <xdr:col>10</xdr:col>
      <xdr:colOff>600075</xdr:colOff>
      <xdr:row>14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157162</xdr:colOff>
      <xdr:row>15</xdr:row>
      <xdr:rowOff>14287</xdr:rowOff>
    </xdr:from>
    <xdr:to>
      <xdr:col>10</xdr:col>
      <xdr:colOff>57150</xdr:colOff>
      <xdr:row>23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7"/>
  <sheetViews>
    <sheetView showGridLines="0" topLeftCell="A393" workbookViewId="0">
      <selection activeCell="C412" sqref="C412"/>
    </sheetView>
  </sheetViews>
  <sheetFormatPr defaultRowHeight="15" x14ac:dyDescent="0.25"/>
  <cols>
    <col min="1" max="1" width="2.28515625" customWidth="1"/>
    <col min="2" max="2" width="18.5703125" customWidth="1"/>
    <col min="3" max="3" width="18.42578125" customWidth="1"/>
    <col min="4" max="4" width="13.7109375" bestFit="1" customWidth="1"/>
    <col min="5" max="5" width="12.5703125" bestFit="1" customWidth="1"/>
    <col min="6" max="6" width="11.42578125" customWidth="1"/>
    <col min="7" max="7" width="12" bestFit="1" customWidth="1"/>
  </cols>
  <sheetData>
    <row r="1" spans="1:5" x14ac:dyDescent="0.25">
      <c r="A1" s="24" t="s">
        <v>18</v>
      </c>
    </row>
    <row r="2" spans="1:5" x14ac:dyDescent="0.25">
      <c r="A2" s="24" t="s">
        <v>19</v>
      </c>
    </row>
    <row r="3" spans="1:5" x14ac:dyDescent="0.25">
      <c r="A3" s="24" t="s">
        <v>20</v>
      </c>
    </row>
    <row r="4" spans="1:5" x14ac:dyDescent="0.25">
      <c r="A4" s="24" t="s">
        <v>21</v>
      </c>
    </row>
    <row r="5" spans="1:5" x14ac:dyDescent="0.25">
      <c r="A5" s="24" t="s">
        <v>22</v>
      </c>
    </row>
    <row r="6" spans="1:5" x14ac:dyDescent="0.25">
      <c r="A6" s="24"/>
      <c r="B6" t="s">
        <v>23</v>
      </c>
    </row>
    <row r="7" spans="1:5" x14ac:dyDescent="0.25">
      <c r="A7" s="24"/>
      <c r="B7" t="s">
        <v>24</v>
      </c>
    </row>
    <row r="8" spans="1:5" x14ac:dyDescent="0.25">
      <c r="A8" s="24"/>
      <c r="B8" t="s">
        <v>25</v>
      </c>
    </row>
    <row r="9" spans="1:5" x14ac:dyDescent="0.25">
      <c r="A9" s="24" t="s">
        <v>26</v>
      </c>
    </row>
    <row r="10" spans="1:5" x14ac:dyDescent="0.25">
      <c r="B10" t="s">
        <v>27</v>
      </c>
    </row>
    <row r="11" spans="1:5" x14ac:dyDescent="0.25">
      <c r="B11" t="s">
        <v>28</v>
      </c>
    </row>
    <row r="12" spans="1:5" x14ac:dyDescent="0.25">
      <c r="B12" t="s">
        <v>29</v>
      </c>
    </row>
    <row r="14" spans="1:5" ht="15.75" thickBot="1" x14ac:dyDescent="0.3">
      <c r="A14" t="s">
        <v>30</v>
      </c>
    </row>
    <row r="15" spans="1:5" ht="15.75" thickBot="1" x14ac:dyDescent="0.3">
      <c r="B15" s="26" t="s">
        <v>31</v>
      </c>
      <c r="C15" s="26" t="s">
        <v>32</v>
      </c>
      <c r="D15" s="26" t="s">
        <v>33</v>
      </c>
      <c r="E15" s="26" t="s">
        <v>34</v>
      </c>
    </row>
    <row r="16" spans="1:5" ht="15.75" thickBot="1" x14ac:dyDescent="0.3">
      <c r="B16" s="25" t="s">
        <v>42</v>
      </c>
      <c r="C16" s="25" t="s">
        <v>9</v>
      </c>
      <c r="D16" s="28">
        <v>329843.76000000007</v>
      </c>
      <c r="E16" s="28">
        <v>354870.80000000005</v>
      </c>
    </row>
    <row r="19" spans="1:6" ht="15.75" thickBot="1" x14ac:dyDescent="0.3">
      <c r="A19" t="s">
        <v>35</v>
      </c>
    </row>
    <row r="20" spans="1:6" ht="15.75" thickBot="1" x14ac:dyDescent="0.3">
      <c r="B20" s="26" t="s">
        <v>31</v>
      </c>
      <c r="C20" s="26" t="s">
        <v>32</v>
      </c>
      <c r="D20" s="26" t="s">
        <v>33</v>
      </c>
      <c r="E20" s="26" t="s">
        <v>34</v>
      </c>
      <c r="F20" s="26" t="s">
        <v>36</v>
      </c>
    </row>
    <row r="21" spans="1:6" x14ac:dyDescent="0.25">
      <c r="B21" s="27" t="s">
        <v>43</v>
      </c>
      <c r="C21" s="27" t="s">
        <v>12</v>
      </c>
      <c r="D21" s="29">
        <v>0</v>
      </c>
      <c r="E21" s="29">
        <v>1</v>
      </c>
      <c r="F21" s="27" t="s">
        <v>36</v>
      </c>
    </row>
    <row r="22" spans="1:6" x14ac:dyDescent="0.25">
      <c r="B22" s="27" t="s">
        <v>44</v>
      </c>
      <c r="C22" s="27" t="s">
        <v>12</v>
      </c>
      <c r="D22" s="29">
        <v>0</v>
      </c>
      <c r="E22" s="29">
        <v>0</v>
      </c>
      <c r="F22" s="27" t="s">
        <v>36</v>
      </c>
    </row>
    <row r="23" spans="1:6" x14ac:dyDescent="0.25">
      <c r="B23" s="27" t="s">
        <v>45</v>
      </c>
      <c r="C23" s="27" t="s">
        <v>12</v>
      </c>
      <c r="D23" s="29">
        <v>0</v>
      </c>
      <c r="E23" s="29">
        <v>0</v>
      </c>
      <c r="F23" s="27" t="s">
        <v>36</v>
      </c>
    </row>
    <row r="24" spans="1:6" x14ac:dyDescent="0.25">
      <c r="B24" s="27" t="s">
        <v>46</v>
      </c>
      <c r="C24" s="27" t="s">
        <v>12</v>
      </c>
      <c r="D24" s="29">
        <v>0</v>
      </c>
      <c r="E24" s="29">
        <v>0</v>
      </c>
      <c r="F24" s="27" t="s">
        <v>36</v>
      </c>
    </row>
    <row r="25" spans="1:6" x14ac:dyDescent="0.25">
      <c r="B25" s="27" t="s">
        <v>47</v>
      </c>
      <c r="C25" s="27" t="s">
        <v>12</v>
      </c>
      <c r="D25" s="29">
        <v>0</v>
      </c>
      <c r="E25" s="29">
        <v>0</v>
      </c>
      <c r="F25" s="27" t="s">
        <v>36</v>
      </c>
    </row>
    <row r="26" spans="1:6" x14ac:dyDescent="0.25">
      <c r="B26" s="27" t="s">
        <v>48</v>
      </c>
      <c r="C26" s="27" t="s">
        <v>12</v>
      </c>
      <c r="D26" s="29">
        <v>0</v>
      </c>
      <c r="E26" s="29">
        <v>0</v>
      </c>
      <c r="F26" s="27" t="s">
        <v>36</v>
      </c>
    </row>
    <row r="27" spans="1:6" x14ac:dyDescent="0.25">
      <c r="B27" s="27" t="s">
        <v>49</v>
      </c>
      <c r="C27" s="27" t="s">
        <v>12</v>
      </c>
      <c r="D27" s="29">
        <v>0</v>
      </c>
      <c r="E27" s="29">
        <v>0</v>
      </c>
      <c r="F27" s="27" t="s">
        <v>36</v>
      </c>
    </row>
    <row r="28" spans="1:6" x14ac:dyDescent="0.25">
      <c r="B28" s="27" t="s">
        <v>50</v>
      </c>
      <c r="C28" s="27" t="s">
        <v>12</v>
      </c>
      <c r="D28" s="29">
        <v>0</v>
      </c>
      <c r="E28" s="29">
        <v>0</v>
      </c>
      <c r="F28" s="27" t="s">
        <v>36</v>
      </c>
    </row>
    <row r="29" spans="1:6" x14ac:dyDescent="0.25">
      <c r="B29" s="27" t="s">
        <v>51</v>
      </c>
      <c r="C29" s="27" t="s">
        <v>12</v>
      </c>
      <c r="D29" s="29">
        <v>0</v>
      </c>
      <c r="E29" s="29">
        <v>0</v>
      </c>
      <c r="F29" s="27" t="s">
        <v>36</v>
      </c>
    </row>
    <row r="30" spans="1:6" x14ac:dyDescent="0.25">
      <c r="B30" s="27" t="s">
        <v>52</v>
      </c>
      <c r="C30" s="27" t="s">
        <v>12</v>
      </c>
      <c r="D30" s="29">
        <v>0</v>
      </c>
      <c r="E30" s="29">
        <v>0</v>
      </c>
      <c r="F30" s="27" t="s">
        <v>36</v>
      </c>
    </row>
    <row r="31" spans="1:6" x14ac:dyDescent="0.25">
      <c r="B31" s="27" t="s">
        <v>53</v>
      </c>
      <c r="C31" s="27" t="s">
        <v>12</v>
      </c>
      <c r="D31" s="29">
        <v>0</v>
      </c>
      <c r="E31" s="29">
        <v>1</v>
      </c>
      <c r="F31" s="27" t="s">
        <v>36</v>
      </c>
    </row>
    <row r="32" spans="1:6" x14ac:dyDescent="0.25">
      <c r="B32" s="27" t="s">
        <v>54</v>
      </c>
      <c r="C32" s="27" t="s">
        <v>12</v>
      </c>
      <c r="D32" s="29">
        <v>0</v>
      </c>
      <c r="E32" s="29">
        <v>0</v>
      </c>
      <c r="F32" s="27" t="s">
        <v>36</v>
      </c>
    </row>
    <row r="33" spans="2:6" x14ac:dyDescent="0.25">
      <c r="B33" s="27" t="s">
        <v>55</v>
      </c>
      <c r="C33" s="27" t="s">
        <v>12</v>
      </c>
      <c r="D33" s="29">
        <v>0</v>
      </c>
      <c r="E33" s="29">
        <v>1</v>
      </c>
      <c r="F33" s="27" t="s">
        <v>36</v>
      </c>
    </row>
    <row r="34" spans="2:6" x14ac:dyDescent="0.25">
      <c r="B34" s="27" t="s">
        <v>56</v>
      </c>
      <c r="C34" s="27" t="s">
        <v>12</v>
      </c>
      <c r="D34" s="29">
        <v>0</v>
      </c>
      <c r="E34" s="29">
        <v>0</v>
      </c>
      <c r="F34" s="27" t="s">
        <v>36</v>
      </c>
    </row>
    <row r="35" spans="2:6" x14ac:dyDescent="0.25">
      <c r="B35" s="27" t="s">
        <v>57</v>
      </c>
      <c r="C35" s="27" t="s">
        <v>12</v>
      </c>
      <c r="D35" s="29">
        <v>0</v>
      </c>
      <c r="E35" s="29">
        <v>1</v>
      </c>
      <c r="F35" s="27" t="s">
        <v>36</v>
      </c>
    </row>
    <row r="36" spans="2:6" x14ac:dyDescent="0.25">
      <c r="B36" s="27" t="s">
        <v>58</v>
      </c>
      <c r="C36" s="27" t="s">
        <v>12</v>
      </c>
      <c r="D36" s="29">
        <v>0</v>
      </c>
      <c r="E36" s="29">
        <v>0</v>
      </c>
      <c r="F36" s="27" t="s">
        <v>36</v>
      </c>
    </row>
    <row r="37" spans="2:6" x14ac:dyDescent="0.25">
      <c r="B37" s="27" t="s">
        <v>59</v>
      </c>
      <c r="C37" s="27" t="s">
        <v>12</v>
      </c>
      <c r="D37" s="29">
        <v>0</v>
      </c>
      <c r="E37" s="29">
        <v>0</v>
      </c>
      <c r="F37" s="27" t="s">
        <v>36</v>
      </c>
    </row>
    <row r="38" spans="2:6" x14ac:dyDescent="0.25">
      <c r="B38" s="27" t="s">
        <v>60</v>
      </c>
      <c r="C38" s="27" t="s">
        <v>12</v>
      </c>
      <c r="D38" s="29">
        <v>0</v>
      </c>
      <c r="E38" s="29">
        <v>0</v>
      </c>
      <c r="F38" s="27" t="s">
        <v>36</v>
      </c>
    </row>
    <row r="39" spans="2:6" x14ac:dyDescent="0.25">
      <c r="B39" s="27" t="s">
        <v>61</v>
      </c>
      <c r="C39" s="27" t="s">
        <v>12</v>
      </c>
      <c r="D39" s="29">
        <v>0</v>
      </c>
      <c r="E39" s="29">
        <v>0</v>
      </c>
      <c r="F39" s="27" t="s">
        <v>36</v>
      </c>
    </row>
    <row r="40" spans="2:6" x14ac:dyDescent="0.25">
      <c r="B40" s="27" t="s">
        <v>62</v>
      </c>
      <c r="C40" s="27" t="s">
        <v>12</v>
      </c>
      <c r="D40" s="29">
        <v>0</v>
      </c>
      <c r="E40" s="29">
        <v>0</v>
      </c>
      <c r="F40" s="27" t="s">
        <v>36</v>
      </c>
    </row>
    <row r="41" spans="2:6" x14ac:dyDescent="0.25">
      <c r="B41" s="27" t="s">
        <v>63</v>
      </c>
      <c r="C41" s="27" t="s">
        <v>12</v>
      </c>
      <c r="D41" s="29">
        <v>0</v>
      </c>
      <c r="E41" s="29">
        <v>0</v>
      </c>
      <c r="F41" s="27" t="s">
        <v>36</v>
      </c>
    </row>
    <row r="42" spans="2:6" x14ac:dyDescent="0.25">
      <c r="B42" s="27" t="s">
        <v>64</v>
      </c>
      <c r="C42" s="27" t="s">
        <v>12</v>
      </c>
      <c r="D42" s="29">
        <v>0</v>
      </c>
      <c r="E42" s="29">
        <v>1</v>
      </c>
      <c r="F42" s="27" t="s">
        <v>36</v>
      </c>
    </row>
    <row r="43" spans="2:6" x14ac:dyDescent="0.25">
      <c r="B43" s="27" t="s">
        <v>65</v>
      </c>
      <c r="C43" s="27" t="s">
        <v>12</v>
      </c>
      <c r="D43" s="29">
        <v>0</v>
      </c>
      <c r="E43" s="29">
        <v>0</v>
      </c>
      <c r="F43" s="27" t="s">
        <v>36</v>
      </c>
    </row>
    <row r="44" spans="2:6" x14ac:dyDescent="0.25">
      <c r="B44" s="27" t="s">
        <v>66</v>
      </c>
      <c r="C44" s="27" t="s">
        <v>67</v>
      </c>
      <c r="D44" s="29">
        <v>2</v>
      </c>
      <c r="E44" s="29">
        <v>0</v>
      </c>
      <c r="F44" s="27" t="s">
        <v>36</v>
      </c>
    </row>
    <row r="45" spans="2:6" x14ac:dyDescent="0.25">
      <c r="B45" s="27" t="s">
        <v>68</v>
      </c>
      <c r="C45" s="27" t="s">
        <v>12</v>
      </c>
      <c r="D45" s="29">
        <v>0</v>
      </c>
      <c r="E45" s="29">
        <v>1</v>
      </c>
      <c r="F45" s="27" t="s">
        <v>36</v>
      </c>
    </row>
    <row r="46" spans="2:6" x14ac:dyDescent="0.25">
      <c r="B46" s="27" t="s">
        <v>69</v>
      </c>
      <c r="C46" s="27" t="s">
        <v>12</v>
      </c>
      <c r="D46" s="29">
        <v>1</v>
      </c>
      <c r="E46" s="29">
        <v>0</v>
      </c>
      <c r="F46" s="27" t="s">
        <v>36</v>
      </c>
    </row>
    <row r="47" spans="2:6" x14ac:dyDescent="0.25">
      <c r="B47" s="27" t="s">
        <v>70</v>
      </c>
      <c r="C47" s="27" t="s">
        <v>12</v>
      </c>
      <c r="D47" s="29">
        <v>0</v>
      </c>
      <c r="E47" s="29">
        <v>0</v>
      </c>
      <c r="F47" s="27" t="s">
        <v>36</v>
      </c>
    </row>
    <row r="48" spans="2:6" x14ac:dyDescent="0.25">
      <c r="B48" s="27" t="s">
        <v>71</v>
      </c>
      <c r="C48" s="27" t="s">
        <v>12</v>
      </c>
      <c r="D48" s="29">
        <v>1</v>
      </c>
      <c r="E48" s="29">
        <v>0</v>
      </c>
      <c r="F48" s="27" t="s">
        <v>36</v>
      </c>
    </row>
    <row r="49" spans="2:6" x14ac:dyDescent="0.25">
      <c r="B49" s="27" t="s">
        <v>72</v>
      </c>
      <c r="C49" s="27" t="s">
        <v>12</v>
      </c>
      <c r="D49" s="29">
        <v>1</v>
      </c>
      <c r="E49" s="29">
        <v>1</v>
      </c>
      <c r="F49" s="27" t="s">
        <v>36</v>
      </c>
    </row>
    <row r="50" spans="2:6" x14ac:dyDescent="0.25">
      <c r="B50" s="27" t="s">
        <v>73</v>
      </c>
      <c r="C50" s="27" t="s">
        <v>12</v>
      </c>
      <c r="D50" s="29">
        <v>2</v>
      </c>
      <c r="E50" s="29">
        <v>0</v>
      </c>
      <c r="F50" s="27" t="s">
        <v>36</v>
      </c>
    </row>
    <row r="51" spans="2:6" x14ac:dyDescent="0.25">
      <c r="B51" s="27" t="s">
        <v>74</v>
      </c>
      <c r="C51" s="27" t="s">
        <v>12</v>
      </c>
      <c r="D51" s="29">
        <v>1</v>
      </c>
      <c r="E51" s="29">
        <v>1</v>
      </c>
      <c r="F51" s="27" t="s">
        <v>36</v>
      </c>
    </row>
    <row r="52" spans="2:6" x14ac:dyDescent="0.25">
      <c r="B52" s="27" t="s">
        <v>75</v>
      </c>
      <c r="C52" s="27" t="s">
        <v>12</v>
      </c>
      <c r="D52" s="29">
        <v>1</v>
      </c>
      <c r="E52" s="29">
        <v>0</v>
      </c>
      <c r="F52" s="27" t="s">
        <v>36</v>
      </c>
    </row>
    <row r="53" spans="2:6" x14ac:dyDescent="0.25">
      <c r="B53" s="27" t="s">
        <v>76</v>
      </c>
      <c r="C53" s="27" t="s">
        <v>77</v>
      </c>
      <c r="D53" s="29">
        <v>0</v>
      </c>
      <c r="E53" s="29">
        <v>1</v>
      </c>
      <c r="F53" s="27" t="s">
        <v>36</v>
      </c>
    </row>
    <row r="54" spans="2:6" x14ac:dyDescent="0.25">
      <c r="B54" s="27" t="s">
        <v>78</v>
      </c>
      <c r="C54" s="27" t="s">
        <v>12</v>
      </c>
      <c r="D54" s="29">
        <v>0</v>
      </c>
      <c r="E54" s="29">
        <v>1</v>
      </c>
      <c r="F54" s="27" t="s">
        <v>36</v>
      </c>
    </row>
    <row r="55" spans="2:6" x14ac:dyDescent="0.25">
      <c r="B55" s="27" t="s">
        <v>79</v>
      </c>
      <c r="C55" s="27" t="s">
        <v>12</v>
      </c>
      <c r="D55" s="29">
        <v>0</v>
      </c>
      <c r="E55" s="29">
        <v>1</v>
      </c>
      <c r="F55" s="27" t="s">
        <v>36</v>
      </c>
    </row>
    <row r="56" spans="2:6" x14ac:dyDescent="0.25">
      <c r="B56" s="27" t="s">
        <v>80</v>
      </c>
      <c r="C56" s="27" t="s">
        <v>12</v>
      </c>
      <c r="D56" s="29">
        <v>0</v>
      </c>
      <c r="E56" s="29">
        <v>0</v>
      </c>
      <c r="F56" s="27" t="s">
        <v>36</v>
      </c>
    </row>
    <row r="57" spans="2:6" x14ac:dyDescent="0.25">
      <c r="B57" s="27" t="s">
        <v>81</v>
      </c>
      <c r="C57" s="27" t="s">
        <v>12</v>
      </c>
      <c r="D57" s="29">
        <v>0</v>
      </c>
      <c r="E57" s="29">
        <v>0</v>
      </c>
      <c r="F57" s="27" t="s">
        <v>36</v>
      </c>
    </row>
    <row r="58" spans="2:6" x14ac:dyDescent="0.25">
      <c r="B58" s="27" t="s">
        <v>82</v>
      </c>
      <c r="C58" s="27" t="s">
        <v>12</v>
      </c>
      <c r="D58" s="29">
        <v>1</v>
      </c>
      <c r="E58" s="29">
        <v>0</v>
      </c>
      <c r="F58" s="27" t="s">
        <v>36</v>
      </c>
    </row>
    <row r="59" spans="2:6" x14ac:dyDescent="0.25">
      <c r="B59" s="27" t="s">
        <v>83</v>
      </c>
      <c r="C59" s="27" t="s">
        <v>12</v>
      </c>
      <c r="D59" s="29">
        <v>2</v>
      </c>
      <c r="E59" s="29">
        <v>0</v>
      </c>
      <c r="F59" s="27" t="s">
        <v>36</v>
      </c>
    </row>
    <row r="60" spans="2:6" x14ac:dyDescent="0.25">
      <c r="B60" s="27" t="s">
        <v>84</v>
      </c>
      <c r="C60" s="27" t="s">
        <v>12</v>
      </c>
      <c r="D60" s="29">
        <v>0</v>
      </c>
      <c r="E60" s="29">
        <v>0</v>
      </c>
      <c r="F60" s="27" t="s">
        <v>36</v>
      </c>
    </row>
    <row r="61" spans="2:6" x14ac:dyDescent="0.25">
      <c r="B61" s="27" t="s">
        <v>85</v>
      </c>
      <c r="C61" s="27" t="s">
        <v>12</v>
      </c>
      <c r="D61" s="29">
        <v>0</v>
      </c>
      <c r="E61" s="29">
        <v>1</v>
      </c>
      <c r="F61" s="27" t="s">
        <v>36</v>
      </c>
    </row>
    <row r="62" spans="2:6" x14ac:dyDescent="0.25">
      <c r="B62" s="27" t="s">
        <v>86</v>
      </c>
      <c r="C62" s="27" t="s">
        <v>12</v>
      </c>
      <c r="D62" s="29">
        <v>0</v>
      </c>
      <c r="E62" s="29">
        <v>0</v>
      </c>
      <c r="F62" s="27" t="s">
        <v>36</v>
      </c>
    </row>
    <row r="63" spans="2:6" x14ac:dyDescent="0.25">
      <c r="B63" s="27" t="s">
        <v>87</v>
      </c>
      <c r="C63" s="27" t="s">
        <v>12</v>
      </c>
      <c r="D63" s="29">
        <v>0</v>
      </c>
      <c r="E63" s="29">
        <v>1</v>
      </c>
      <c r="F63" s="27" t="s">
        <v>36</v>
      </c>
    </row>
    <row r="64" spans="2:6" x14ac:dyDescent="0.25">
      <c r="B64" s="27" t="s">
        <v>88</v>
      </c>
      <c r="C64" s="27" t="s">
        <v>12</v>
      </c>
      <c r="D64" s="29">
        <v>1</v>
      </c>
      <c r="E64" s="29">
        <v>0</v>
      </c>
      <c r="F64" s="27" t="s">
        <v>36</v>
      </c>
    </row>
    <row r="65" spans="2:6" x14ac:dyDescent="0.25">
      <c r="B65" s="27" t="s">
        <v>89</v>
      </c>
      <c r="C65" s="27" t="s">
        <v>12</v>
      </c>
      <c r="D65" s="29">
        <v>1</v>
      </c>
      <c r="E65" s="29">
        <v>1</v>
      </c>
      <c r="F65" s="27" t="s">
        <v>36</v>
      </c>
    </row>
    <row r="66" spans="2:6" x14ac:dyDescent="0.25">
      <c r="B66" s="27" t="s">
        <v>90</v>
      </c>
      <c r="C66" s="27" t="s">
        <v>12</v>
      </c>
      <c r="D66" s="29">
        <v>1</v>
      </c>
      <c r="E66" s="29">
        <v>0</v>
      </c>
      <c r="F66" s="27" t="s">
        <v>36</v>
      </c>
    </row>
    <row r="67" spans="2:6" x14ac:dyDescent="0.25">
      <c r="B67" s="27" t="s">
        <v>91</v>
      </c>
      <c r="C67" s="27" t="s">
        <v>12</v>
      </c>
      <c r="D67" s="29">
        <v>0</v>
      </c>
      <c r="E67" s="29">
        <v>1</v>
      </c>
      <c r="F67" s="27" t="s">
        <v>36</v>
      </c>
    </row>
    <row r="68" spans="2:6" x14ac:dyDescent="0.25">
      <c r="B68" s="27" t="s">
        <v>92</v>
      </c>
      <c r="C68" s="27" t="s">
        <v>12</v>
      </c>
      <c r="D68" s="29">
        <v>0</v>
      </c>
      <c r="E68" s="29">
        <v>0</v>
      </c>
      <c r="F68" s="27" t="s">
        <v>36</v>
      </c>
    </row>
    <row r="69" spans="2:6" x14ac:dyDescent="0.25">
      <c r="B69" s="27" t="s">
        <v>93</v>
      </c>
      <c r="C69" s="27" t="s">
        <v>12</v>
      </c>
      <c r="D69" s="29">
        <v>0</v>
      </c>
      <c r="E69" s="29">
        <v>0</v>
      </c>
      <c r="F69" s="27" t="s">
        <v>36</v>
      </c>
    </row>
    <row r="70" spans="2:6" x14ac:dyDescent="0.25">
      <c r="B70" s="27" t="s">
        <v>94</v>
      </c>
      <c r="C70" s="27" t="s">
        <v>12</v>
      </c>
      <c r="D70" s="29">
        <v>2</v>
      </c>
      <c r="E70" s="29">
        <v>1</v>
      </c>
      <c r="F70" s="27" t="s">
        <v>36</v>
      </c>
    </row>
    <row r="71" spans="2:6" x14ac:dyDescent="0.25">
      <c r="B71" s="27" t="s">
        <v>95</v>
      </c>
      <c r="C71" s="27" t="s">
        <v>12</v>
      </c>
      <c r="D71" s="29">
        <v>0</v>
      </c>
      <c r="E71" s="29">
        <v>2</v>
      </c>
      <c r="F71" s="27" t="s">
        <v>36</v>
      </c>
    </row>
    <row r="72" spans="2:6" x14ac:dyDescent="0.25">
      <c r="B72" s="27" t="s">
        <v>96</v>
      </c>
      <c r="C72" s="27" t="s">
        <v>12</v>
      </c>
      <c r="D72" s="29">
        <v>0</v>
      </c>
      <c r="E72" s="29">
        <v>0</v>
      </c>
      <c r="F72" s="27" t="s">
        <v>36</v>
      </c>
    </row>
    <row r="73" spans="2:6" x14ac:dyDescent="0.25">
      <c r="B73" s="27" t="s">
        <v>97</v>
      </c>
      <c r="C73" s="27" t="s">
        <v>12</v>
      </c>
      <c r="D73" s="29">
        <v>0</v>
      </c>
      <c r="E73" s="29">
        <v>1</v>
      </c>
      <c r="F73" s="27" t="s">
        <v>36</v>
      </c>
    </row>
    <row r="74" spans="2:6" x14ac:dyDescent="0.25">
      <c r="B74" s="27" t="s">
        <v>98</v>
      </c>
      <c r="C74" s="27" t="s">
        <v>12</v>
      </c>
      <c r="D74" s="29">
        <v>0</v>
      </c>
      <c r="E74" s="29">
        <v>0</v>
      </c>
      <c r="F74" s="27" t="s">
        <v>36</v>
      </c>
    </row>
    <row r="75" spans="2:6" x14ac:dyDescent="0.25">
      <c r="B75" s="27" t="s">
        <v>99</v>
      </c>
      <c r="C75" s="27" t="s">
        <v>12</v>
      </c>
      <c r="D75" s="29">
        <v>1</v>
      </c>
      <c r="E75" s="29">
        <v>0</v>
      </c>
      <c r="F75" s="27" t="s">
        <v>36</v>
      </c>
    </row>
    <row r="76" spans="2:6" x14ac:dyDescent="0.25">
      <c r="B76" s="27" t="s">
        <v>100</v>
      </c>
      <c r="C76" s="27" t="s">
        <v>12</v>
      </c>
      <c r="D76" s="29">
        <v>1</v>
      </c>
      <c r="E76" s="29">
        <v>0</v>
      </c>
      <c r="F76" s="27" t="s">
        <v>36</v>
      </c>
    </row>
    <row r="77" spans="2:6" x14ac:dyDescent="0.25">
      <c r="B77" s="27" t="s">
        <v>101</v>
      </c>
      <c r="C77" s="27" t="s">
        <v>12</v>
      </c>
      <c r="D77" s="29">
        <v>0</v>
      </c>
      <c r="E77" s="29">
        <v>1</v>
      </c>
      <c r="F77" s="27" t="s">
        <v>36</v>
      </c>
    </row>
    <row r="78" spans="2:6" x14ac:dyDescent="0.25">
      <c r="B78" s="27" t="s">
        <v>102</v>
      </c>
      <c r="C78" s="27" t="s">
        <v>12</v>
      </c>
      <c r="D78" s="29">
        <v>1</v>
      </c>
      <c r="E78" s="29">
        <v>0</v>
      </c>
      <c r="F78" s="27" t="s">
        <v>36</v>
      </c>
    </row>
    <row r="79" spans="2:6" x14ac:dyDescent="0.25">
      <c r="B79" s="27" t="s">
        <v>103</v>
      </c>
      <c r="C79" s="27" t="s">
        <v>12</v>
      </c>
      <c r="D79" s="29">
        <v>0</v>
      </c>
      <c r="E79" s="29">
        <v>2</v>
      </c>
      <c r="F79" s="27" t="s">
        <v>36</v>
      </c>
    </row>
    <row r="80" spans="2:6" x14ac:dyDescent="0.25">
      <c r="B80" s="27" t="s">
        <v>104</v>
      </c>
      <c r="C80" s="27" t="s">
        <v>12</v>
      </c>
      <c r="D80" s="29">
        <v>1</v>
      </c>
      <c r="E80" s="29">
        <v>0</v>
      </c>
      <c r="F80" s="27" t="s">
        <v>36</v>
      </c>
    </row>
    <row r="81" spans="2:6" x14ac:dyDescent="0.25">
      <c r="B81" s="27" t="s">
        <v>105</v>
      </c>
      <c r="C81" s="27" t="s">
        <v>12</v>
      </c>
      <c r="D81" s="29">
        <v>1</v>
      </c>
      <c r="E81" s="29">
        <v>0</v>
      </c>
      <c r="F81" s="27" t="s">
        <v>36</v>
      </c>
    </row>
    <row r="82" spans="2:6" x14ac:dyDescent="0.25">
      <c r="B82" s="27" t="s">
        <v>106</v>
      </c>
      <c r="C82" s="27" t="s">
        <v>12</v>
      </c>
      <c r="D82" s="29">
        <v>0</v>
      </c>
      <c r="E82" s="29">
        <v>0</v>
      </c>
      <c r="F82" s="27" t="s">
        <v>36</v>
      </c>
    </row>
    <row r="83" spans="2:6" x14ac:dyDescent="0.25">
      <c r="B83" s="27" t="s">
        <v>107</v>
      </c>
      <c r="C83" s="27" t="s">
        <v>12</v>
      </c>
      <c r="D83" s="29">
        <v>0</v>
      </c>
      <c r="E83" s="29">
        <v>1</v>
      </c>
      <c r="F83" s="27" t="s">
        <v>36</v>
      </c>
    </row>
    <row r="84" spans="2:6" x14ac:dyDescent="0.25">
      <c r="B84" s="27" t="s">
        <v>108</v>
      </c>
      <c r="C84" s="27" t="s">
        <v>12</v>
      </c>
      <c r="D84" s="29">
        <v>1</v>
      </c>
      <c r="E84" s="29">
        <v>1</v>
      </c>
      <c r="F84" s="27" t="s">
        <v>36</v>
      </c>
    </row>
    <row r="85" spans="2:6" x14ac:dyDescent="0.25">
      <c r="B85" s="27" t="s">
        <v>109</v>
      </c>
      <c r="C85" s="27" t="s">
        <v>12</v>
      </c>
      <c r="D85" s="29">
        <v>0</v>
      </c>
      <c r="E85" s="29">
        <v>0</v>
      </c>
      <c r="F85" s="27" t="s">
        <v>36</v>
      </c>
    </row>
    <row r="86" spans="2:6" x14ac:dyDescent="0.25">
      <c r="B86" s="27" t="s">
        <v>110</v>
      </c>
      <c r="C86" s="27" t="s">
        <v>12</v>
      </c>
      <c r="D86" s="29">
        <v>0</v>
      </c>
      <c r="E86" s="29">
        <v>0</v>
      </c>
      <c r="F86" s="27" t="s">
        <v>36</v>
      </c>
    </row>
    <row r="87" spans="2:6" x14ac:dyDescent="0.25">
      <c r="B87" s="27" t="s">
        <v>111</v>
      </c>
      <c r="C87" s="27" t="s">
        <v>12</v>
      </c>
      <c r="D87" s="29">
        <v>0</v>
      </c>
      <c r="E87" s="29">
        <v>0</v>
      </c>
      <c r="F87" s="27" t="s">
        <v>36</v>
      </c>
    </row>
    <row r="88" spans="2:6" x14ac:dyDescent="0.25">
      <c r="B88" s="27" t="s">
        <v>112</v>
      </c>
      <c r="C88" s="27" t="s">
        <v>12</v>
      </c>
      <c r="D88" s="29">
        <v>0</v>
      </c>
      <c r="E88" s="29">
        <v>1</v>
      </c>
      <c r="F88" s="27" t="s">
        <v>36</v>
      </c>
    </row>
    <row r="89" spans="2:6" x14ac:dyDescent="0.25">
      <c r="B89" s="27" t="s">
        <v>113</v>
      </c>
      <c r="C89" s="27" t="s">
        <v>12</v>
      </c>
      <c r="D89" s="29">
        <v>0</v>
      </c>
      <c r="E89" s="29">
        <v>1</v>
      </c>
      <c r="F89" s="27" t="s">
        <v>36</v>
      </c>
    </row>
    <row r="90" spans="2:6" x14ac:dyDescent="0.25">
      <c r="B90" s="27" t="s">
        <v>114</v>
      </c>
      <c r="C90" s="27" t="s">
        <v>12</v>
      </c>
      <c r="D90" s="29">
        <v>0</v>
      </c>
      <c r="E90" s="29">
        <v>0</v>
      </c>
      <c r="F90" s="27" t="s">
        <v>36</v>
      </c>
    </row>
    <row r="91" spans="2:6" x14ac:dyDescent="0.25">
      <c r="B91" s="27" t="s">
        <v>115</v>
      </c>
      <c r="C91" s="27" t="s">
        <v>12</v>
      </c>
      <c r="D91" s="29">
        <v>1</v>
      </c>
      <c r="E91" s="29">
        <v>0</v>
      </c>
      <c r="F91" s="27" t="s">
        <v>36</v>
      </c>
    </row>
    <row r="92" spans="2:6" x14ac:dyDescent="0.25">
      <c r="B92" s="27" t="s">
        <v>116</v>
      </c>
      <c r="C92" s="27" t="s">
        <v>12</v>
      </c>
      <c r="D92" s="29">
        <v>0</v>
      </c>
      <c r="E92" s="29">
        <v>1</v>
      </c>
      <c r="F92" s="27" t="s">
        <v>36</v>
      </c>
    </row>
    <row r="93" spans="2:6" x14ac:dyDescent="0.25">
      <c r="B93" s="27" t="s">
        <v>117</v>
      </c>
      <c r="C93" s="27" t="s">
        <v>12</v>
      </c>
      <c r="D93" s="29">
        <v>1</v>
      </c>
      <c r="E93" s="29">
        <v>0</v>
      </c>
      <c r="F93" s="27" t="s">
        <v>36</v>
      </c>
    </row>
    <row r="94" spans="2:6" x14ac:dyDescent="0.25">
      <c r="B94" s="27" t="s">
        <v>118</v>
      </c>
      <c r="C94" s="27" t="s">
        <v>12</v>
      </c>
      <c r="D94" s="29">
        <v>2</v>
      </c>
      <c r="E94" s="29">
        <v>0</v>
      </c>
      <c r="F94" s="27" t="s">
        <v>36</v>
      </c>
    </row>
    <row r="95" spans="2:6" x14ac:dyDescent="0.25">
      <c r="B95" s="27" t="s">
        <v>119</v>
      </c>
      <c r="C95" s="27" t="s">
        <v>12</v>
      </c>
      <c r="D95" s="29">
        <v>0</v>
      </c>
      <c r="E95" s="29">
        <v>1</v>
      </c>
      <c r="F95" s="27" t="s">
        <v>36</v>
      </c>
    </row>
    <row r="96" spans="2:6" x14ac:dyDescent="0.25">
      <c r="B96" s="27" t="s">
        <v>120</v>
      </c>
      <c r="C96" s="27" t="s">
        <v>12</v>
      </c>
      <c r="D96" s="29">
        <v>2</v>
      </c>
      <c r="E96" s="29">
        <v>1</v>
      </c>
      <c r="F96" s="27" t="s">
        <v>36</v>
      </c>
    </row>
    <row r="97" spans="2:6" x14ac:dyDescent="0.25">
      <c r="B97" s="27" t="s">
        <v>121</v>
      </c>
      <c r="C97" s="27" t="s">
        <v>12</v>
      </c>
      <c r="D97" s="29">
        <v>0</v>
      </c>
      <c r="E97" s="29">
        <v>0</v>
      </c>
      <c r="F97" s="27" t="s">
        <v>36</v>
      </c>
    </row>
    <row r="98" spans="2:6" x14ac:dyDescent="0.25">
      <c r="B98" s="27" t="s">
        <v>122</v>
      </c>
      <c r="C98" s="27" t="s">
        <v>12</v>
      </c>
      <c r="D98" s="29">
        <v>0</v>
      </c>
      <c r="E98" s="29">
        <v>0</v>
      </c>
      <c r="F98" s="27" t="s">
        <v>36</v>
      </c>
    </row>
    <row r="99" spans="2:6" x14ac:dyDescent="0.25">
      <c r="B99" s="27" t="s">
        <v>123</v>
      </c>
      <c r="C99" s="27" t="s">
        <v>12</v>
      </c>
      <c r="D99" s="29">
        <v>1</v>
      </c>
      <c r="E99" s="29">
        <v>1</v>
      </c>
      <c r="F99" s="27" t="s">
        <v>36</v>
      </c>
    </row>
    <row r="100" spans="2:6" x14ac:dyDescent="0.25">
      <c r="B100" s="27" t="s">
        <v>124</v>
      </c>
      <c r="C100" s="27" t="s">
        <v>12</v>
      </c>
      <c r="D100" s="29">
        <v>1</v>
      </c>
      <c r="E100" s="29">
        <v>0</v>
      </c>
      <c r="F100" s="27" t="s">
        <v>36</v>
      </c>
    </row>
    <row r="101" spans="2:6" x14ac:dyDescent="0.25">
      <c r="B101" s="27" t="s">
        <v>125</v>
      </c>
      <c r="C101" s="27" t="s">
        <v>12</v>
      </c>
      <c r="D101" s="29">
        <v>3</v>
      </c>
      <c r="E101" s="29">
        <v>1</v>
      </c>
      <c r="F101" s="27" t="s">
        <v>36</v>
      </c>
    </row>
    <row r="102" spans="2:6" x14ac:dyDescent="0.25">
      <c r="B102" s="27" t="s">
        <v>126</v>
      </c>
      <c r="C102" s="27" t="s">
        <v>12</v>
      </c>
      <c r="D102" s="29">
        <v>1</v>
      </c>
      <c r="E102" s="29">
        <v>0</v>
      </c>
      <c r="F102" s="27" t="s">
        <v>36</v>
      </c>
    </row>
    <row r="103" spans="2:6" x14ac:dyDescent="0.25">
      <c r="B103" s="27" t="s">
        <v>127</v>
      </c>
      <c r="C103" s="27" t="s">
        <v>12</v>
      </c>
      <c r="D103" s="29">
        <v>0</v>
      </c>
      <c r="E103" s="29">
        <v>0</v>
      </c>
      <c r="F103" s="27" t="s">
        <v>36</v>
      </c>
    </row>
    <row r="104" spans="2:6" x14ac:dyDescent="0.25">
      <c r="B104" s="27" t="s">
        <v>128</v>
      </c>
      <c r="C104" s="27" t="s">
        <v>12</v>
      </c>
      <c r="D104" s="29">
        <v>0</v>
      </c>
      <c r="E104" s="29">
        <v>1</v>
      </c>
      <c r="F104" s="27" t="s">
        <v>36</v>
      </c>
    </row>
    <row r="105" spans="2:6" x14ac:dyDescent="0.25">
      <c r="B105" s="27" t="s">
        <v>129</v>
      </c>
      <c r="C105" s="27" t="s">
        <v>12</v>
      </c>
      <c r="D105" s="29">
        <v>1</v>
      </c>
      <c r="E105" s="29">
        <v>1</v>
      </c>
      <c r="F105" s="27" t="s">
        <v>36</v>
      </c>
    </row>
    <row r="106" spans="2:6" x14ac:dyDescent="0.25">
      <c r="B106" s="27" t="s">
        <v>130</v>
      </c>
      <c r="C106" s="27" t="s">
        <v>12</v>
      </c>
      <c r="D106" s="29">
        <v>1</v>
      </c>
      <c r="E106" s="29">
        <v>1</v>
      </c>
      <c r="F106" s="27" t="s">
        <v>36</v>
      </c>
    </row>
    <row r="107" spans="2:6" x14ac:dyDescent="0.25">
      <c r="B107" s="27" t="s">
        <v>131</v>
      </c>
      <c r="C107" s="27" t="s">
        <v>12</v>
      </c>
      <c r="D107" s="29">
        <v>1</v>
      </c>
      <c r="E107" s="29">
        <v>1</v>
      </c>
      <c r="F107" s="27" t="s">
        <v>36</v>
      </c>
    </row>
    <row r="108" spans="2:6" x14ac:dyDescent="0.25">
      <c r="B108" s="27" t="s">
        <v>132</v>
      </c>
      <c r="C108" s="27" t="s">
        <v>12</v>
      </c>
      <c r="D108" s="29">
        <v>0</v>
      </c>
      <c r="E108" s="29">
        <v>1</v>
      </c>
      <c r="F108" s="27" t="s">
        <v>36</v>
      </c>
    </row>
    <row r="109" spans="2:6" x14ac:dyDescent="0.25">
      <c r="B109" s="27" t="s">
        <v>133</v>
      </c>
      <c r="C109" s="27" t="s">
        <v>12</v>
      </c>
      <c r="D109" s="29">
        <v>0</v>
      </c>
      <c r="E109" s="29">
        <v>1</v>
      </c>
      <c r="F109" s="27" t="s">
        <v>36</v>
      </c>
    </row>
    <row r="110" spans="2:6" x14ac:dyDescent="0.25">
      <c r="B110" s="27" t="s">
        <v>134</v>
      </c>
      <c r="C110" s="27" t="s">
        <v>12</v>
      </c>
      <c r="D110" s="29">
        <v>1</v>
      </c>
      <c r="E110" s="29">
        <v>1</v>
      </c>
      <c r="F110" s="27" t="s">
        <v>36</v>
      </c>
    </row>
    <row r="111" spans="2:6" x14ac:dyDescent="0.25">
      <c r="B111" s="27" t="s">
        <v>135</v>
      </c>
      <c r="C111" s="27" t="s">
        <v>12</v>
      </c>
      <c r="D111" s="29">
        <v>1</v>
      </c>
      <c r="E111" s="29">
        <v>2</v>
      </c>
      <c r="F111" s="27" t="s">
        <v>36</v>
      </c>
    </row>
    <row r="112" spans="2:6" x14ac:dyDescent="0.25">
      <c r="B112" s="27" t="s">
        <v>136</v>
      </c>
      <c r="C112" s="27" t="s">
        <v>12</v>
      </c>
      <c r="D112" s="29">
        <v>1</v>
      </c>
      <c r="E112" s="29">
        <v>2</v>
      </c>
      <c r="F112" s="27" t="s">
        <v>36</v>
      </c>
    </row>
    <row r="113" spans="1:7" ht="15.75" thickBot="1" x14ac:dyDescent="0.3">
      <c r="B113" s="25" t="s">
        <v>137</v>
      </c>
      <c r="C113" s="25" t="s">
        <v>12</v>
      </c>
      <c r="D113" s="30">
        <v>0</v>
      </c>
      <c r="E113" s="30">
        <v>1</v>
      </c>
      <c r="F113" s="25" t="s">
        <v>36</v>
      </c>
    </row>
    <row r="116" spans="1:7" ht="15.75" thickBot="1" x14ac:dyDescent="0.3">
      <c r="A116" t="s">
        <v>37</v>
      </c>
    </row>
    <row r="117" spans="1:7" ht="15.75" thickBot="1" x14ac:dyDescent="0.3">
      <c r="B117" s="26" t="s">
        <v>31</v>
      </c>
      <c r="C117" s="26" t="s">
        <v>32</v>
      </c>
      <c r="D117" s="26" t="s">
        <v>38</v>
      </c>
      <c r="E117" s="26" t="s">
        <v>39</v>
      </c>
      <c r="F117" s="26" t="s">
        <v>40</v>
      </c>
      <c r="G117" s="26" t="s">
        <v>41</v>
      </c>
    </row>
    <row r="118" spans="1:7" x14ac:dyDescent="0.25">
      <c r="B118" s="27" t="s">
        <v>138</v>
      </c>
      <c r="C118" s="27" t="s">
        <v>3</v>
      </c>
      <c r="D118" s="29">
        <v>20</v>
      </c>
      <c r="E118" s="27" t="s">
        <v>139</v>
      </c>
      <c r="F118" s="27" t="s">
        <v>140</v>
      </c>
      <c r="G118" s="29">
        <v>10</v>
      </c>
    </row>
    <row r="119" spans="1:7" x14ac:dyDescent="0.25">
      <c r="B119" s="27" t="s">
        <v>141</v>
      </c>
      <c r="C119" s="27" t="s">
        <v>3</v>
      </c>
      <c r="D119" s="29">
        <v>20</v>
      </c>
      <c r="E119" s="27" t="s">
        <v>142</v>
      </c>
      <c r="F119" s="27" t="s">
        <v>140</v>
      </c>
      <c r="G119" s="29">
        <v>10</v>
      </c>
    </row>
    <row r="120" spans="1:7" x14ac:dyDescent="0.25">
      <c r="B120" s="27" t="s">
        <v>143</v>
      </c>
      <c r="C120" s="27" t="s">
        <v>3</v>
      </c>
      <c r="D120" s="29">
        <v>20</v>
      </c>
      <c r="E120" s="27" t="s">
        <v>144</v>
      </c>
      <c r="F120" s="27" t="s">
        <v>140</v>
      </c>
      <c r="G120" s="29">
        <v>10</v>
      </c>
    </row>
    <row r="121" spans="1:7" x14ac:dyDescent="0.25">
      <c r="B121" s="27" t="s">
        <v>145</v>
      </c>
      <c r="C121" s="27" t="s">
        <v>3</v>
      </c>
      <c r="D121" s="29">
        <v>20</v>
      </c>
      <c r="E121" s="27" t="s">
        <v>146</v>
      </c>
      <c r="F121" s="27" t="s">
        <v>140</v>
      </c>
      <c r="G121" s="29">
        <v>10</v>
      </c>
    </row>
    <row r="122" spans="1:7" x14ac:dyDescent="0.25">
      <c r="B122" s="27" t="s">
        <v>147</v>
      </c>
      <c r="C122" s="27" t="s">
        <v>3</v>
      </c>
      <c r="D122" s="29">
        <v>20</v>
      </c>
      <c r="E122" s="27" t="s">
        <v>148</v>
      </c>
      <c r="F122" s="27" t="s">
        <v>140</v>
      </c>
      <c r="G122" s="29">
        <v>10</v>
      </c>
    </row>
    <row r="123" spans="1:7" x14ac:dyDescent="0.25">
      <c r="B123" s="27" t="s">
        <v>149</v>
      </c>
      <c r="C123" s="27" t="s">
        <v>3</v>
      </c>
      <c r="D123" s="29">
        <v>20</v>
      </c>
      <c r="E123" s="27" t="s">
        <v>150</v>
      </c>
      <c r="F123" s="27" t="s">
        <v>140</v>
      </c>
      <c r="G123" s="29">
        <v>10</v>
      </c>
    </row>
    <row r="124" spans="1:7" x14ac:dyDescent="0.25">
      <c r="B124" s="27" t="s">
        <v>151</v>
      </c>
      <c r="C124" s="27" t="s">
        <v>3</v>
      </c>
      <c r="D124" s="29">
        <v>20</v>
      </c>
      <c r="E124" s="27" t="s">
        <v>152</v>
      </c>
      <c r="F124" s="27" t="s">
        <v>140</v>
      </c>
      <c r="G124" s="29">
        <v>10</v>
      </c>
    </row>
    <row r="125" spans="1:7" x14ac:dyDescent="0.25">
      <c r="B125" s="27" t="s">
        <v>153</v>
      </c>
      <c r="C125" s="27" t="s">
        <v>3</v>
      </c>
      <c r="D125" s="29">
        <v>20</v>
      </c>
      <c r="E125" s="27" t="s">
        <v>154</v>
      </c>
      <c r="F125" s="27" t="s">
        <v>140</v>
      </c>
      <c r="G125" s="29">
        <v>10</v>
      </c>
    </row>
    <row r="126" spans="1:7" x14ac:dyDescent="0.25">
      <c r="B126" s="27" t="s">
        <v>155</v>
      </c>
      <c r="C126" s="27" t="s">
        <v>3</v>
      </c>
      <c r="D126" s="29">
        <v>20</v>
      </c>
      <c r="E126" s="27" t="s">
        <v>156</v>
      </c>
      <c r="F126" s="27" t="s">
        <v>140</v>
      </c>
      <c r="G126" s="29">
        <v>10</v>
      </c>
    </row>
    <row r="127" spans="1:7" x14ac:dyDescent="0.25">
      <c r="B127" s="27" t="s">
        <v>157</v>
      </c>
      <c r="C127" s="27" t="s">
        <v>3</v>
      </c>
      <c r="D127" s="29">
        <v>20</v>
      </c>
      <c r="E127" s="27" t="s">
        <v>158</v>
      </c>
      <c r="F127" s="27" t="s">
        <v>140</v>
      </c>
      <c r="G127" s="29">
        <v>10</v>
      </c>
    </row>
    <row r="128" spans="1:7" x14ac:dyDescent="0.25">
      <c r="B128" s="27" t="s">
        <v>159</v>
      </c>
      <c r="C128" s="27" t="s">
        <v>3</v>
      </c>
      <c r="D128" s="29">
        <v>40</v>
      </c>
      <c r="E128" s="27" t="s">
        <v>160</v>
      </c>
      <c r="F128" s="27" t="s">
        <v>140</v>
      </c>
      <c r="G128" s="29">
        <v>30</v>
      </c>
    </row>
    <row r="129" spans="2:7" x14ac:dyDescent="0.25">
      <c r="B129" s="27" t="s">
        <v>161</v>
      </c>
      <c r="C129" s="27" t="s">
        <v>3</v>
      </c>
      <c r="D129" s="29">
        <v>40</v>
      </c>
      <c r="E129" s="27" t="s">
        <v>162</v>
      </c>
      <c r="F129" s="27" t="s">
        <v>140</v>
      </c>
      <c r="G129" s="29">
        <v>30</v>
      </c>
    </row>
    <row r="130" spans="2:7" x14ac:dyDescent="0.25">
      <c r="B130" s="27" t="s">
        <v>163</v>
      </c>
      <c r="C130" s="27" t="s">
        <v>3</v>
      </c>
      <c r="D130" s="29">
        <v>60</v>
      </c>
      <c r="E130" s="27" t="s">
        <v>164</v>
      </c>
      <c r="F130" s="27" t="s">
        <v>140</v>
      </c>
      <c r="G130" s="29">
        <v>50</v>
      </c>
    </row>
    <row r="131" spans="2:7" x14ac:dyDescent="0.25">
      <c r="B131" s="27" t="s">
        <v>165</v>
      </c>
      <c r="C131" s="27" t="s">
        <v>3</v>
      </c>
      <c r="D131" s="29">
        <v>60</v>
      </c>
      <c r="E131" s="27" t="s">
        <v>166</v>
      </c>
      <c r="F131" s="27" t="s">
        <v>140</v>
      </c>
      <c r="G131" s="29">
        <v>50</v>
      </c>
    </row>
    <row r="132" spans="2:7" x14ac:dyDescent="0.25">
      <c r="B132" s="27" t="s">
        <v>167</v>
      </c>
      <c r="C132" s="27" t="s">
        <v>3</v>
      </c>
      <c r="D132" s="29">
        <v>80</v>
      </c>
      <c r="E132" s="27" t="s">
        <v>168</v>
      </c>
      <c r="F132" s="27" t="s">
        <v>140</v>
      </c>
      <c r="G132" s="29">
        <v>70</v>
      </c>
    </row>
    <row r="133" spans="2:7" x14ac:dyDescent="0.25">
      <c r="B133" s="27" t="s">
        <v>169</v>
      </c>
      <c r="C133" s="27" t="s">
        <v>3</v>
      </c>
      <c r="D133" s="29">
        <v>80</v>
      </c>
      <c r="E133" s="27" t="s">
        <v>170</v>
      </c>
      <c r="F133" s="27" t="s">
        <v>140</v>
      </c>
      <c r="G133" s="29">
        <v>70</v>
      </c>
    </row>
    <row r="134" spans="2:7" x14ac:dyDescent="0.25">
      <c r="B134" s="27" t="s">
        <v>171</v>
      </c>
      <c r="C134" s="27" t="s">
        <v>3</v>
      </c>
      <c r="D134" s="29">
        <v>80</v>
      </c>
      <c r="E134" s="27" t="s">
        <v>172</v>
      </c>
      <c r="F134" s="27" t="s">
        <v>140</v>
      </c>
      <c r="G134" s="29">
        <v>70</v>
      </c>
    </row>
    <row r="135" spans="2:7" x14ac:dyDescent="0.25">
      <c r="B135" s="27" t="s">
        <v>173</v>
      </c>
      <c r="C135" s="27" t="s">
        <v>3</v>
      </c>
      <c r="D135" s="29">
        <v>80</v>
      </c>
      <c r="E135" s="27" t="s">
        <v>174</v>
      </c>
      <c r="F135" s="27" t="s">
        <v>140</v>
      </c>
      <c r="G135" s="29">
        <v>70</v>
      </c>
    </row>
    <row r="136" spans="2:7" x14ac:dyDescent="0.25">
      <c r="B136" s="27" t="s">
        <v>175</v>
      </c>
      <c r="C136" s="27" t="s">
        <v>3</v>
      </c>
      <c r="D136" s="29">
        <v>80</v>
      </c>
      <c r="E136" s="27" t="s">
        <v>176</v>
      </c>
      <c r="F136" s="27" t="s">
        <v>140</v>
      </c>
      <c r="G136" s="29">
        <v>70</v>
      </c>
    </row>
    <row r="137" spans="2:7" x14ac:dyDescent="0.25">
      <c r="B137" s="27" t="s">
        <v>177</v>
      </c>
      <c r="C137" s="27" t="s">
        <v>3</v>
      </c>
      <c r="D137" s="29">
        <v>80</v>
      </c>
      <c r="E137" s="27" t="s">
        <v>178</v>
      </c>
      <c r="F137" s="27" t="s">
        <v>140</v>
      </c>
      <c r="G137" s="29">
        <v>70</v>
      </c>
    </row>
    <row r="138" spans="2:7" x14ac:dyDescent="0.25">
      <c r="B138" s="27" t="s">
        <v>179</v>
      </c>
      <c r="C138" s="27" t="s">
        <v>3</v>
      </c>
      <c r="D138" s="29">
        <v>80</v>
      </c>
      <c r="E138" s="27" t="s">
        <v>180</v>
      </c>
      <c r="F138" s="27" t="s">
        <v>140</v>
      </c>
      <c r="G138" s="29">
        <v>70</v>
      </c>
    </row>
    <row r="139" spans="2:7" x14ac:dyDescent="0.25">
      <c r="B139" s="27" t="s">
        <v>181</v>
      </c>
      <c r="C139" s="27" t="s">
        <v>3</v>
      </c>
      <c r="D139" s="29">
        <v>100</v>
      </c>
      <c r="E139" s="27" t="s">
        <v>182</v>
      </c>
      <c r="F139" s="27" t="s">
        <v>140</v>
      </c>
      <c r="G139" s="29">
        <v>90</v>
      </c>
    </row>
    <row r="140" spans="2:7" x14ac:dyDescent="0.25">
      <c r="B140" s="27" t="s">
        <v>183</v>
      </c>
      <c r="C140" s="27" t="s">
        <v>3</v>
      </c>
      <c r="D140" s="29">
        <v>100</v>
      </c>
      <c r="E140" s="27" t="s">
        <v>184</v>
      </c>
      <c r="F140" s="27" t="s">
        <v>140</v>
      </c>
      <c r="G140" s="29">
        <v>90</v>
      </c>
    </row>
    <row r="141" spans="2:7" x14ac:dyDescent="0.25">
      <c r="B141" s="27" t="s">
        <v>185</v>
      </c>
      <c r="C141" s="27" t="s">
        <v>186</v>
      </c>
      <c r="D141" s="29">
        <v>91.578947368421055</v>
      </c>
      <c r="E141" s="27" t="s">
        <v>187</v>
      </c>
      <c r="F141" s="27" t="s">
        <v>140</v>
      </c>
      <c r="G141" s="29">
        <v>81.578947368421055</v>
      </c>
    </row>
    <row r="142" spans="2:7" x14ac:dyDescent="0.25">
      <c r="B142" s="27" t="s">
        <v>188</v>
      </c>
      <c r="C142" s="27" t="s">
        <v>3</v>
      </c>
      <c r="D142" s="29">
        <v>103.15789473684211</v>
      </c>
      <c r="E142" s="27" t="s">
        <v>189</v>
      </c>
      <c r="F142" s="27" t="s">
        <v>140</v>
      </c>
      <c r="G142" s="29">
        <v>93.15789473684211</v>
      </c>
    </row>
    <row r="143" spans="2:7" x14ac:dyDescent="0.25">
      <c r="B143" s="27" t="s">
        <v>190</v>
      </c>
      <c r="C143" s="27" t="s">
        <v>3</v>
      </c>
      <c r="D143" s="29">
        <v>94.736842105263165</v>
      </c>
      <c r="E143" s="27" t="s">
        <v>191</v>
      </c>
      <c r="F143" s="27" t="s">
        <v>140</v>
      </c>
      <c r="G143" s="29">
        <v>84.736842105263165</v>
      </c>
    </row>
    <row r="144" spans="2:7" x14ac:dyDescent="0.25">
      <c r="B144" s="27" t="s">
        <v>192</v>
      </c>
      <c r="C144" s="27" t="s">
        <v>3</v>
      </c>
      <c r="D144" s="29">
        <v>86.31578947368422</v>
      </c>
      <c r="E144" s="27" t="s">
        <v>193</v>
      </c>
      <c r="F144" s="27" t="s">
        <v>140</v>
      </c>
      <c r="G144" s="29">
        <v>76.31578947368422</v>
      </c>
    </row>
    <row r="145" spans="2:7" x14ac:dyDescent="0.25">
      <c r="B145" s="27" t="s">
        <v>194</v>
      </c>
      <c r="C145" s="27" t="s">
        <v>3</v>
      </c>
      <c r="D145" s="29">
        <v>77.894736842105274</v>
      </c>
      <c r="E145" s="27" t="s">
        <v>195</v>
      </c>
      <c r="F145" s="27" t="s">
        <v>140</v>
      </c>
      <c r="G145" s="29">
        <v>67.894736842105274</v>
      </c>
    </row>
    <row r="146" spans="2:7" x14ac:dyDescent="0.25">
      <c r="B146" s="27" t="s">
        <v>196</v>
      </c>
      <c r="C146" s="27" t="s">
        <v>3</v>
      </c>
      <c r="D146" s="29">
        <v>89.473684210526329</v>
      </c>
      <c r="E146" s="27" t="s">
        <v>197</v>
      </c>
      <c r="F146" s="27" t="s">
        <v>140</v>
      </c>
      <c r="G146" s="29">
        <v>79.473684210526329</v>
      </c>
    </row>
    <row r="147" spans="2:7" x14ac:dyDescent="0.25">
      <c r="B147" s="27" t="s">
        <v>198</v>
      </c>
      <c r="C147" s="27" t="s">
        <v>3</v>
      </c>
      <c r="D147" s="29">
        <v>81.052631578947384</v>
      </c>
      <c r="E147" s="27" t="s">
        <v>199</v>
      </c>
      <c r="F147" s="27" t="s">
        <v>140</v>
      </c>
      <c r="G147" s="29">
        <v>71.052631578947384</v>
      </c>
    </row>
    <row r="148" spans="2:7" x14ac:dyDescent="0.25">
      <c r="B148" s="27" t="s">
        <v>200</v>
      </c>
      <c r="C148" s="27" t="s">
        <v>3</v>
      </c>
      <c r="D148" s="29">
        <v>92.631578947368439</v>
      </c>
      <c r="E148" s="27" t="s">
        <v>201</v>
      </c>
      <c r="F148" s="27" t="s">
        <v>140</v>
      </c>
      <c r="G148" s="29">
        <v>82.631578947368439</v>
      </c>
    </row>
    <row r="149" spans="2:7" x14ac:dyDescent="0.25">
      <c r="B149" s="27" t="s">
        <v>202</v>
      </c>
      <c r="C149" s="27" t="s">
        <v>3</v>
      </c>
      <c r="D149" s="29">
        <v>84.210526315789494</v>
      </c>
      <c r="E149" s="27" t="s">
        <v>203</v>
      </c>
      <c r="F149" s="27" t="s">
        <v>140</v>
      </c>
      <c r="G149" s="29">
        <v>74.210526315789494</v>
      </c>
    </row>
    <row r="150" spans="2:7" x14ac:dyDescent="0.25">
      <c r="B150" s="27" t="s">
        <v>204</v>
      </c>
      <c r="C150" s="27" t="s">
        <v>205</v>
      </c>
      <c r="D150" s="29">
        <v>95.789473684210549</v>
      </c>
      <c r="E150" s="27" t="s">
        <v>206</v>
      </c>
      <c r="F150" s="27" t="s">
        <v>140</v>
      </c>
      <c r="G150" s="29">
        <v>85.789473684210549</v>
      </c>
    </row>
    <row r="151" spans="2:7" x14ac:dyDescent="0.25">
      <c r="B151" s="27" t="s">
        <v>207</v>
      </c>
      <c r="C151" s="27" t="s">
        <v>3</v>
      </c>
      <c r="D151" s="29">
        <v>107.3684210526316</v>
      </c>
      <c r="E151" s="27" t="s">
        <v>208</v>
      </c>
      <c r="F151" s="27" t="s">
        <v>140</v>
      </c>
      <c r="G151" s="29">
        <v>97.368421052631604</v>
      </c>
    </row>
    <row r="152" spans="2:7" x14ac:dyDescent="0.25">
      <c r="B152" s="27" t="s">
        <v>209</v>
      </c>
      <c r="C152" s="27" t="s">
        <v>3</v>
      </c>
      <c r="D152" s="29">
        <v>118.94736842105266</v>
      </c>
      <c r="E152" s="27" t="s">
        <v>210</v>
      </c>
      <c r="F152" s="27" t="s">
        <v>140</v>
      </c>
      <c r="G152" s="29">
        <v>108.94736842105266</v>
      </c>
    </row>
    <row r="153" spans="2:7" x14ac:dyDescent="0.25">
      <c r="B153" s="27" t="s">
        <v>211</v>
      </c>
      <c r="C153" s="27" t="s">
        <v>3</v>
      </c>
      <c r="D153" s="29">
        <v>110.52631578947371</v>
      </c>
      <c r="E153" s="27" t="s">
        <v>212</v>
      </c>
      <c r="F153" s="27" t="s">
        <v>140</v>
      </c>
      <c r="G153" s="29">
        <v>100.52631578947371</v>
      </c>
    </row>
    <row r="154" spans="2:7" x14ac:dyDescent="0.25">
      <c r="B154" s="27" t="s">
        <v>213</v>
      </c>
      <c r="C154" s="27" t="s">
        <v>3</v>
      </c>
      <c r="D154" s="29">
        <v>102.10526315789477</v>
      </c>
      <c r="E154" s="27" t="s">
        <v>214</v>
      </c>
      <c r="F154" s="27" t="s">
        <v>140</v>
      </c>
      <c r="G154" s="29">
        <v>92.105263157894768</v>
      </c>
    </row>
    <row r="155" spans="2:7" x14ac:dyDescent="0.25">
      <c r="B155" s="27" t="s">
        <v>215</v>
      </c>
      <c r="C155" s="27" t="s">
        <v>3</v>
      </c>
      <c r="D155" s="29">
        <v>93.684210526315823</v>
      </c>
      <c r="E155" s="27" t="s">
        <v>216</v>
      </c>
      <c r="F155" s="27" t="s">
        <v>140</v>
      </c>
      <c r="G155" s="29">
        <v>83.684210526315823</v>
      </c>
    </row>
    <row r="156" spans="2:7" x14ac:dyDescent="0.25">
      <c r="B156" s="27" t="s">
        <v>217</v>
      </c>
      <c r="C156" s="27" t="s">
        <v>3</v>
      </c>
      <c r="D156" s="29">
        <v>85.263157894736878</v>
      </c>
      <c r="E156" s="27" t="s">
        <v>218</v>
      </c>
      <c r="F156" s="27" t="s">
        <v>140</v>
      </c>
      <c r="G156" s="29">
        <v>75.263157894736878</v>
      </c>
    </row>
    <row r="157" spans="2:7" x14ac:dyDescent="0.25">
      <c r="B157" s="27" t="s">
        <v>219</v>
      </c>
      <c r="C157" s="27" t="s">
        <v>3</v>
      </c>
      <c r="D157" s="29">
        <v>76.842105263157933</v>
      </c>
      <c r="E157" s="27" t="s">
        <v>220</v>
      </c>
      <c r="F157" s="27" t="s">
        <v>140</v>
      </c>
      <c r="G157" s="29">
        <v>66.842105263157933</v>
      </c>
    </row>
    <row r="158" spans="2:7" x14ac:dyDescent="0.25">
      <c r="B158" s="27" t="s">
        <v>221</v>
      </c>
      <c r="C158" s="27" t="s">
        <v>3</v>
      </c>
      <c r="D158" s="29">
        <v>88.421052631578988</v>
      </c>
      <c r="E158" s="27" t="s">
        <v>222</v>
      </c>
      <c r="F158" s="27" t="s">
        <v>140</v>
      </c>
      <c r="G158" s="29">
        <v>78.421052631578988</v>
      </c>
    </row>
    <row r="159" spans="2:7" x14ac:dyDescent="0.25">
      <c r="B159" s="27" t="s">
        <v>223</v>
      </c>
      <c r="C159" s="27" t="s">
        <v>3</v>
      </c>
      <c r="D159" s="29">
        <v>80.000000000000043</v>
      </c>
      <c r="E159" s="27" t="s">
        <v>224</v>
      </c>
      <c r="F159" s="27" t="s">
        <v>140</v>
      </c>
      <c r="G159" s="29">
        <v>70.000000000000043</v>
      </c>
    </row>
    <row r="160" spans="2:7" x14ac:dyDescent="0.25">
      <c r="B160" s="27" t="s">
        <v>225</v>
      </c>
      <c r="C160" s="27" t="s">
        <v>3</v>
      </c>
      <c r="D160" s="29">
        <v>73.333333333333371</v>
      </c>
      <c r="E160" s="27" t="s">
        <v>226</v>
      </c>
      <c r="F160" s="27" t="s">
        <v>140</v>
      </c>
      <c r="G160" s="29">
        <v>63.333333333333371</v>
      </c>
    </row>
    <row r="161" spans="2:7" x14ac:dyDescent="0.25">
      <c r="B161" s="27" t="s">
        <v>227</v>
      </c>
      <c r="C161" s="27" t="s">
        <v>3</v>
      </c>
      <c r="D161" s="29">
        <v>46.6666666666667</v>
      </c>
      <c r="E161" s="27" t="s">
        <v>228</v>
      </c>
      <c r="F161" s="27" t="s">
        <v>140</v>
      </c>
      <c r="G161" s="29">
        <v>36.6666666666667</v>
      </c>
    </row>
    <row r="162" spans="2:7" x14ac:dyDescent="0.25">
      <c r="B162" s="27" t="s">
        <v>229</v>
      </c>
      <c r="C162" s="27" t="s">
        <v>3</v>
      </c>
      <c r="D162" s="29">
        <v>40.000000000000028</v>
      </c>
      <c r="E162" s="27" t="s">
        <v>230</v>
      </c>
      <c r="F162" s="27" t="s">
        <v>140</v>
      </c>
      <c r="G162" s="29">
        <v>30.000000000000028</v>
      </c>
    </row>
    <row r="163" spans="2:7" x14ac:dyDescent="0.25">
      <c r="B163" s="27" t="s">
        <v>231</v>
      </c>
      <c r="C163" s="27" t="s">
        <v>3</v>
      </c>
      <c r="D163" s="29">
        <v>30.000000000000028</v>
      </c>
      <c r="E163" s="27" t="s">
        <v>232</v>
      </c>
      <c r="F163" s="27" t="s">
        <v>140</v>
      </c>
      <c r="G163" s="29">
        <v>20.000000000000028</v>
      </c>
    </row>
    <row r="164" spans="2:7" x14ac:dyDescent="0.25">
      <c r="B164" s="27" t="s">
        <v>233</v>
      </c>
      <c r="C164" s="27" t="s">
        <v>3</v>
      </c>
      <c r="D164" s="29">
        <v>40.000000000000028</v>
      </c>
      <c r="E164" s="27" t="s">
        <v>234</v>
      </c>
      <c r="F164" s="27" t="s">
        <v>140</v>
      </c>
      <c r="G164" s="29">
        <v>30.000000000000028</v>
      </c>
    </row>
    <row r="165" spans="2:7" x14ac:dyDescent="0.25">
      <c r="B165" s="27" t="s">
        <v>235</v>
      </c>
      <c r="C165" s="27" t="s">
        <v>3</v>
      </c>
      <c r="D165" s="29">
        <v>30.000000000000028</v>
      </c>
      <c r="E165" s="27" t="s">
        <v>236</v>
      </c>
      <c r="F165" s="27" t="s">
        <v>140</v>
      </c>
      <c r="G165" s="29">
        <v>20.000000000000028</v>
      </c>
    </row>
    <row r="166" spans="2:7" x14ac:dyDescent="0.25">
      <c r="B166" s="27" t="s">
        <v>237</v>
      </c>
      <c r="C166" s="27" t="s">
        <v>3</v>
      </c>
      <c r="D166" s="29">
        <v>20.000000000000028</v>
      </c>
      <c r="E166" s="27" t="s">
        <v>238</v>
      </c>
      <c r="F166" s="27" t="s">
        <v>140</v>
      </c>
      <c r="G166" s="29">
        <v>10.000000000000028</v>
      </c>
    </row>
    <row r="167" spans="2:7" x14ac:dyDescent="0.25">
      <c r="B167" s="27" t="s">
        <v>239</v>
      </c>
      <c r="C167" s="27" t="s">
        <v>3</v>
      </c>
      <c r="D167" s="29">
        <v>28.571428571428598</v>
      </c>
      <c r="E167" s="27" t="s">
        <v>240</v>
      </c>
      <c r="F167" s="27" t="s">
        <v>140</v>
      </c>
      <c r="G167" s="29">
        <v>18.571428571428598</v>
      </c>
    </row>
    <row r="168" spans="2:7" x14ac:dyDescent="0.25">
      <c r="B168" s="27" t="s">
        <v>241</v>
      </c>
      <c r="C168" s="27" t="s">
        <v>3</v>
      </c>
      <c r="D168" s="29">
        <v>57.142857142857167</v>
      </c>
      <c r="E168" s="27" t="s">
        <v>242</v>
      </c>
      <c r="F168" s="27" t="s">
        <v>140</v>
      </c>
      <c r="G168" s="29">
        <v>47.142857142857167</v>
      </c>
    </row>
    <row r="169" spans="2:7" x14ac:dyDescent="0.25">
      <c r="B169" s="27" t="s">
        <v>243</v>
      </c>
      <c r="C169" s="27" t="s">
        <v>3</v>
      </c>
      <c r="D169" s="29">
        <v>45.714285714285737</v>
      </c>
      <c r="E169" s="27" t="s">
        <v>244</v>
      </c>
      <c r="F169" s="27" t="s">
        <v>140</v>
      </c>
      <c r="G169" s="29">
        <v>35.714285714285737</v>
      </c>
    </row>
    <row r="170" spans="2:7" x14ac:dyDescent="0.25">
      <c r="B170" s="27" t="s">
        <v>245</v>
      </c>
      <c r="C170" s="27" t="s">
        <v>3</v>
      </c>
      <c r="D170" s="29">
        <v>54.285714285714306</v>
      </c>
      <c r="E170" s="27" t="s">
        <v>246</v>
      </c>
      <c r="F170" s="27" t="s">
        <v>140</v>
      </c>
      <c r="G170" s="29">
        <v>44.285714285714306</v>
      </c>
    </row>
    <row r="171" spans="2:7" x14ac:dyDescent="0.25">
      <c r="B171" s="27" t="s">
        <v>247</v>
      </c>
      <c r="C171" s="27" t="s">
        <v>3</v>
      </c>
      <c r="D171" s="29">
        <v>42.857142857142875</v>
      </c>
      <c r="E171" s="27" t="s">
        <v>248</v>
      </c>
      <c r="F171" s="27" t="s">
        <v>140</v>
      </c>
      <c r="G171" s="29">
        <v>32.857142857142875</v>
      </c>
    </row>
    <row r="172" spans="2:7" x14ac:dyDescent="0.25">
      <c r="B172" s="27" t="s">
        <v>249</v>
      </c>
      <c r="C172" s="27" t="s">
        <v>3</v>
      </c>
      <c r="D172" s="29">
        <v>31.428571428571445</v>
      </c>
      <c r="E172" s="27" t="s">
        <v>250</v>
      </c>
      <c r="F172" s="27" t="s">
        <v>140</v>
      </c>
      <c r="G172" s="29">
        <v>21.428571428571445</v>
      </c>
    </row>
    <row r="173" spans="2:7" x14ac:dyDescent="0.25">
      <c r="B173" s="27" t="s">
        <v>251</v>
      </c>
      <c r="C173" s="27" t="s">
        <v>3</v>
      </c>
      <c r="D173" s="29">
        <v>20.000000000000014</v>
      </c>
      <c r="E173" s="27" t="s">
        <v>252</v>
      </c>
      <c r="F173" s="27" t="s">
        <v>140</v>
      </c>
      <c r="G173" s="29">
        <v>10.000000000000014</v>
      </c>
    </row>
    <row r="174" spans="2:7" x14ac:dyDescent="0.25">
      <c r="B174" s="27" t="s">
        <v>253</v>
      </c>
      <c r="C174" s="27" t="s">
        <v>3</v>
      </c>
      <c r="D174" s="29">
        <v>28.571428571428584</v>
      </c>
      <c r="E174" s="27" t="s">
        <v>254</v>
      </c>
      <c r="F174" s="27" t="s">
        <v>140</v>
      </c>
      <c r="G174" s="29">
        <v>18.571428571428584</v>
      </c>
    </row>
    <row r="175" spans="2:7" x14ac:dyDescent="0.25">
      <c r="B175" s="27" t="s">
        <v>255</v>
      </c>
      <c r="C175" s="27" t="s">
        <v>3</v>
      </c>
      <c r="D175" s="29">
        <v>17.142857142857153</v>
      </c>
      <c r="E175" s="27" t="s">
        <v>256</v>
      </c>
      <c r="F175" s="27" t="s">
        <v>140</v>
      </c>
      <c r="G175" s="29">
        <v>7.142857142857153</v>
      </c>
    </row>
    <row r="176" spans="2:7" x14ac:dyDescent="0.25">
      <c r="B176" s="27" t="s">
        <v>257</v>
      </c>
      <c r="C176" s="27" t="s">
        <v>3</v>
      </c>
      <c r="D176" s="29">
        <v>45.714285714285722</v>
      </c>
      <c r="E176" s="27" t="s">
        <v>258</v>
      </c>
      <c r="F176" s="27" t="s">
        <v>140</v>
      </c>
      <c r="G176" s="29">
        <v>35.714285714285722</v>
      </c>
    </row>
    <row r="177" spans="2:7" x14ac:dyDescent="0.25">
      <c r="B177" s="27" t="s">
        <v>259</v>
      </c>
      <c r="C177" s="27" t="s">
        <v>3</v>
      </c>
      <c r="D177" s="29">
        <v>34.285714285714292</v>
      </c>
      <c r="E177" s="27" t="s">
        <v>260</v>
      </c>
      <c r="F177" s="27" t="s">
        <v>140</v>
      </c>
      <c r="G177" s="29">
        <v>24.285714285714292</v>
      </c>
    </row>
    <row r="178" spans="2:7" x14ac:dyDescent="0.25">
      <c r="B178" s="27" t="s">
        <v>261</v>
      </c>
      <c r="C178" s="27" t="s">
        <v>3</v>
      </c>
      <c r="D178" s="29">
        <v>22.857142857142861</v>
      </c>
      <c r="E178" s="27" t="s">
        <v>262</v>
      </c>
      <c r="F178" s="27" t="s">
        <v>140</v>
      </c>
      <c r="G178" s="29">
        <v>12.857142857142861</v>
      </c>
    </row>
    <row r="179" spans="2:7" x14ac:dyDescent="0.25">
      <c r="B179" s="27" t="s">
        <v>263</v>
      </c>
      <c r="C179" s="27" t="s">
        <v>3</v>
      </c>
      <c r="D179" s="29">
        <v>11.428571428571432</v>
      </c>
      <c r="E179" s="27" t="s">
        <v>264</v>
      </c>
      <c r="F179" s="27" t="s">
        <v>140</v>
      </c>
      <c r="G179" s="29">
        <v>1.4285714285714324</v>
      </c>
    </row>
    <row r="180" spans="2:7" x14ac:dyDescent="0.25">
      <c r="B180" s="27" t="s">
        <v>265</v>
      </c>
      <c r="C180" s="27" t="s">
        <v>3</v>
      </c>
      <c r="D180" s="29">
        <v>20</v>
      </c>
      <c r="E180" s="27" t="s">
        <v>266</v>
      </c>
      <c r="F180" s="27" t="s">
        <v>140</v>
      </c>
      <c r="G180" s="29">
        <v>10</v>
      </c>
    </row>
    <row r="181" spans="2:7" x14ac:dyDescent="0.25">
      <c r="B181" s="27" t="s">
        <v>267</v>
      </c>
      <c r="C181" s="27" t="s">
        <v>3</v>
      </c>
      <c r="D181" s="29">
        <v>35.714285714285715</v>
      </c>
      <c r="E181" s="27" t="s">
        <v>268</v>
      </c>
      <c r="F181" s="27" t="s">
        <v>140</v>
      </c>
      <c r="G181" s="29">
        <v>25.714285714285715</v>
      </c>
    </row>
    <row r="182" spans="2:7" x14ac:dyDescent="0.25">
      <c r="B182" s="27" t="s">
        <v>269</v>
      </c>
      <c r="C182" s="27" t="s">
        <v>3</v>
      </c>
      <c r="D182" s="29">
        <v>31.428571428571431</v>
      </c>
      <c r="E182" s="27" t="s">
        <v>270</v>
      </c>
      <c r="F182" s="27" t="s">
        <v>140</v>
      </c>
      <c r="G182" s="29">
        <v>21.428571428571431</v>
      </c>
    </row>
    <row r="183" spans="2:7" x14ac:dyDescent="0.25">
      <c r="B183" s="27" t="s">
        <v>271</v>
      </c>
      <c r="C183" s="27" t="s">
        <v>3</v>
      </c>
      <c r="D183" s="29">
        <v>27.142857142857146</v>
      </c>
      <c r="E183" s="27" t="s">
        <v>272</v>
      </c>
      <c r="F183" s="27" t="s">
        <v>140</v>
      </c>
      <c r="G183" s="29">
        <v>17.142857142857146</v>
      </c>
    </row>
    <row r="184" spans="2:7" x14ac:dyDescent="0.25">
      <c r="B184" s="27" t="s">
        <v>273</v>
      </c>
      <c r="C184" s="27" t="s">
        <v>3</v>
      </c>
      <c r="D184" s="29">
        <v>22.857142857142861</v>
      </c>
      <c r="E184" s="27" t="s">
        <v>274</v>
      </c>
      <c r="F184" s="27" t="s">
        <v>140</v>
      </c>
      <c r="G184" s="29">
        <v>12.857142857142861</v>
      </c>
    </row>
    <row r="185" spans="2:7" x14ac:dyDescent="0.25">
      <c r="B185" s="27" t="s">
        <v>275</v>
      </c>
      <c r="C185" s="27" t="s">
        <v>3</v>
      </c>
      <c r="D185" s="29">
        <v>38.571428571428577</v>
      </c>
      <c r="E185" s="27" t="s">
        <v>276</v>
      </c>
      <c r="F185" s="27" t="s">
        <v>140</v>
      </c>
      <c r="G185" s="29">
        <v>28.571428571428577</v>
      </c>
    </row>
    <row r="186" spans="2:7" x14ac:dyDescent="0.25">
      <c r="B186" s="27" t="s">
        <v>277</v>
      </c>
      <c r="C186" s="27" t="s">
        <v>3</v>
      </c>
      <c r="D186" s="29">
        <v>54.285714285714292</v>
      </c>
      <c r="E186" s="27" t="s">
        <v>278</v>
      </c>
      <c r="F186" s="27" t="s">
        <v>140</v>
      </c>
      <c r="G186" s="29">
        <v>44.285714285714292</v>
      </c>
    </row>
    <row r="187" spans="2:7" x14ac:dyDescent="0.25">
      <c r="B187" s="27" t="s">
        <v>279</v>
      </c>
      <c r="C187" s="27" t="s">
        <v>3</v>
      </c>
      <c r="D187" s="29">
        <v>50.000000000000007</v>
      </c>
      <c r="E187" s="27" t="s">
        <v>280</v>
      </c>
      <c r="F187" s="27" t="s">
        <v>140</v>
      </c>
      <c r="G187" s="29">
        <v>40.000000000000007</v>
      </c>
    </row>
    <row r="188" spans="2:7" x14ac:dyDescent="0.25">
      <c r="B188" s="27" t="s">
        <v>281</v>
      </c>
      <c r="C188" s="27" t="s">
        <v>3</v>
      </c>
      <c r="D188" s="29">
        <v>45.714285714285722</v>
      </c>
      <c r="E188" s="27" t="s">
        <v>282</v>
      </c>
      <c r="F188" s="27" t="s">
        <v>140</v>
      </c>
      <c r="G188" s="29">
        <v>35.714285714285722</v>
      </c>
    </row>
    <row r="189" spans="2:7" x14ac:dyDescent="0.25">
      <c r="B189" s="27" t="s">
        <v>283</v>
      </c>
      <c r="C189" s="27" t="s">
        <v>3</v>
      </c>
      <c r="D189" s="29">
        <v>61.428571428571438</v>
      </c>
      <c r="E189" s="27" t="s">
        <v>284</v>
      </c>
      <c r="F189" s="27" t="s">
        <v>140</v>
      </c>
      <c r="G189" s="29">
        <v>51.428571428571438</v>
      </c>
    </row>
    <row r="190" spans="2:7" x14ac:dyDescent="0.25">
      <c r="B190" s="27" t="s">
        <v>285</v>
      </c>
      <c r="C190" s="27" t="s">
        <v>3</v>
      </c>
      <c r="D190" s="29">
        <v>57.142857142857153</v>
      </c>
      <c r="E190" s="27" t="s">
        <v>286</v>
      </c>
      <c r="F190" s="27" t="s">
        <v>140</v>
      </c>
      <c r="G190" s="29">
        <v>47.142857142857153</v>
      </c>
    </row>
    <row r="191" spans="2:7" x14ac:dyDescent="0.25">
      <c r="B191" s="27" t="s">
        <v>287</v>
      </c>
      <c r="C191" s="27" t="s">
        <v>3</v>
      </c>
      <c r="D191" s="29">
        <v>52.857142857142868</v>
      </c>
      <c r="E191" s="27" t="s">
        <v>288</v>
      </c>
      <c r="F191" s="27" t="s">
        <v>140</v>
      </c>
      <c r="G191" s="29">
        <v>42.857142857142868</v>
      </c>
    </row>
    <row r="192" spans="2:7" x14ac:dyDescent="0.25">
      <c r="B192" s="27" t="s">
        <v>289</v>
      </c>
      <c r="C192" s="27" t="s">
        <v>3</v>
      </c>
      <c r="D192" s="29">
        <v>68.571428571428569</v>
      </c>
      <c r="E192" s="27" t="s">
        <v>290</v>
      </c>
      <c r="F192" s="27" t="s">
        <v>140</v>
      </c>
      <c r="G192" s="29">
        <v>58.571428571428569</v>
      </c>
    </row>
    <row r="193" spans="2:7" x14ac:dyDescent="0.25">
      <c r="B193" s="27" t="s">
        <v>291</v>
      </c>
      <c r="C193" s="27" t="s">
        <v>3</v>
      </c>
      <c r="D193" s="29">
        <v>84.285714285714278</v>
      </c>
      <c r="E193" s="27" t="s">
        <v>292</v>
      </c>
      <c r="F193" s="27" t="s">
        <v>140</v>
      </c>
      <c r="G193" s="29">
        <v>74.285714285714278</v>
      </c>
    </row>
    <row r="194" spans="2:7" x14ac:dyDescent="0.25">
      <c r="B194" s="27" t="s">
        <v>293</v>
      </c>
      <c r="C194" s="27" t="s">
        <v>3</v>
      </c>
      <c r="D194" s="29">
        <v>79.999999999999986</v>
      </c>
      <c r="E194" s="27" t="s">
        <v>294</v>
      </c>
      <c r="F194" s="27" t="s">
        <v>140</v>
      </c>
      <c r="G194" s="29">
        <v>69.999999999999986</v>
      </c>
    </row>
    <row r="195" spans="2:7" x14ac:dyDescent="0.25">
      <c r="B195" s="27" t="s">
        <v>295</v>
      </c>
      <c r="C195" s="27" t="s">
        <v>3</v>
      </c>
      <c r="D195" s="29">
        <v>68.571428571428555</v>
      </c>
      <c r="E195" s="27" t="s">
        <v>296</v>
      </c>
      <c r="F195" s="27" t="s">
        <v>140</v>
      </c>
      <c r="G195" s="29">
        <v>58.571428571428555</v>
      </c>
    </row>
    <row r="196" spans="2:7" x14ac:dyDescent="0.25">
      <c r="B196" s="27" t="s">
        <v>297</v>
      </c>
      <c r="C196" s="27" t="s">
        <v>3</v>
      </c>
      <c r="D196" s="29">
        <v>77.142857142857125</v>
      </c>
      <c r="E196" s="27" t="s">
        <v>298</v>
      </c>
      <c r="F196" s="27" t="s">
        <v>140</v>
      </c>
      <c r="G196" s="29">
        <v>67.142857142857125</v>
      </c>
    </row>
    <row r="197" spans="2:7" x14ac:dyDescent="0.25">
      <c r="B197" s="27" t="s">
        <v>299</v>
      </c>
      <c r="C197" s="27" t="s">
        <v>3</v>
      </c>
      <c r="D197" s="29">
        <v>65.714285714285694</v>
      </c>
      <c r="E197" s="27" t="s">
        <v>300</v>
      </c>
      <c r="F197" s="27" t="s">
        <v>140</v>
      </c>
      <c r="G197" s="29">
        <v>55.714285714285694</v>
      </c>
    </row>
    <row r="198" spans="2:7" x14ac:dyDescent="0.25">
      <c r="B198" s="27" t="s">
        <v>301</v>
      </c>
      <c r="C198" s="27" t="s">
        <v>3</v>
      </c>
      <c r="D198" s="29">
        <v>74.285714285714263</v>
      </c>
      <c r="E198" s="27" t="s">
        <v>302</v>
      </c>
      <c r="F198" s="27" t="s">
        <v>140</v>
      </c>
      <c r="G198" s="29">
        <v>64.285714285714263</v>
      </c>
    </row>
    <row r="199" spans="2:7" x14ac:dyDescent="0.25">
      <c r="B199" s="27" t="s">
        <v>303</v>
      </c>
      <c r="C199" s="27" t="s">
        <v>3</v>
      </c>
      <c r="D199" s="29">
        <v>62.857142857142833</v>
      </c>
      <c r="E199" s="27" t="s">
        <v>304</v>
      </c>
      <c r="F199" s="27" t="s">
        <v>140</v>
      </c>
      <c r="G199" s="29">
        <v>52.857142857142833</v>
      </c>
    </row>
    <row r="200" spans="2:7" x14ac:dyDescent="0.25">
      <c r="B200" s="27" t="s">
        <v>305</v>
      </c>
      <c r="C200" s="27" t="s">
        <v>3</v>
      </c>
      <c r="D200" s="29">
        <v>51.428571428571402</v>
      </c>
      <c r="E200" s="27" t="s">
        <v>306</v>
      </c>
      <c r="F200" s="27" t="s">
        <v>140</v>
      </c>
      <c r="G200" s="29">
        <v>41.428571428571402</v>
      </c>
    </row>
    <row r="201" spans="2:7" x14ac:dyDescent="0.25">
      <c r="B201" s="27" t="s">
        <v>307</v>
      </c>
      <c r="C201" s="27" t="s">
        <v>3</v>
      </c>
      <c r="D201" s="29">
        <v>59.999999999999972</v>
      </c>
      <c r="E201" s="27" t="s">
        <v>308</v>
      </c>
      <c r="F201" s="27" t="s">
        <v>140</v>
      </c>
      <c r="G201" s="29">
        <v>49.999999999999972</v>
      </c>
    </row>
    <row r="202" spans="2:7" x14ac:dyDescent="0.25">
      <c r="B202" s="27" t="s">
        <v>309</v>
      </c>
      <c r="C202" s="27" t="s">
        <v>3</v>
      </c>
      <c r="D202" s="29">
        <v>68.571428571428541</v>
      </c>
      <c r="E202" s="27" t="s">
        <v>310</v>
      </c>
      <c r="F202" s="27" t="s">
        <v>140</v>
      </c>
      <c r="G202" s="29">
        <v>58.571428571428541</v>
      </c>
    </row>
    <row r="203" spans="2:7" x14ac:dyDescent="0.25">
      <c r="B203" s="27" t="s">
        <v>311</v>
      </c>
      <c r="C203" s="27" t="s">
        <v>3</v>
      </c>
      <c r="D203" s="29">
        <v>77.14285714285711</v>
      </c>
      <c r="E203" s="27" t="s">
        <v>312</v>
      </c>
      <c r="F203" s="27" t="s">
        <v>140</v>
      </c>
      <c r="G203" s="29">
        <v>67.14285714285711</v>
      </c>
    </row>
    <row r="204" spans="2:7" x14ac:dyDescent="0.25">
      <c r="B204" s="27" t="s">
        <v>313</v>
      </c>
      <c r="C204" s="27" t="s">
        <v>3</v>
      </c>
      <c r="D204" s="29">
        <v>85.71428571428568</v>
      </c>
      <c r="E204" s="27" t="s">
        <v>314</v>
      </c>
      <c r="F204" s="27" t="s">
        <v>140</v>
      </c>
      <c r="G204" s="29">
        <v>75.71428571428568</v>
      </c>
    </row>
    <row r="205" spans="2:7" x14ac:dyDescent="0.25">
      <c r="B205" s="27" t="s">
        <v>315</v>
      </c>
      <c r="C205" s="27" t="s">
        <v>3</v>
      </c>
      <c r="D205" s="29">
        <v>94.285714285714249</v>
      </c>
      <c r="E205" s="27" t="s">
        <v>316</v>
      </c>
      <c r="F205" s="27" t="s">
        <v>140</v>
      </c>
      <c r="G205" s="29">
        <v>84.285714285714249</v>
      </c>
    </row>
    <row r="206" spans="2:7" x14ac:dyDescent="0.25">
      <c r="B206" s="27" t="s">
        <v>317</v>
      </c>
      <c r="C206" s="27" t="s">
        <v>3</v>
      </c>
      <c r="D206" s="29">
        <v>102.85714285714282</v>
      </c>
      <c r="E206" s="27" t="s">
        <v>318</v>
      </c>
      <c r="F206" s="27" t="s">
        <v>140</v>
      </c>
      <c r="G206" s="29">
        <v>92.857142857142819</v>
      </c>
    </row>
    <row r="207" spans="2:7" x14ac:dyDescent="0.25">
      <c r="B207" s="27" t="s">
        <v>319</v>
      </c>
      <c r="C207" s="27" t="s">
        <v>3</v>
      </c>
      <c r="D207" s="29">
        <v>111.42857142857139</v>
      </c>
      <c r="E207" s="27" t="s">
        <v>320</v>
      </c>
      <c r="F207" s="27" t="s">
        <v>140</v>
      </c>
      <c r="G207" s="29">
        <v>101.42857142857139</v>
      </c>
    </row>
    <row r="208" spans="2:7" x14ac:dyDescent="0.25">
      <c r="B208" s="27" t="s">
        <v>321</v>
      </c>
      <c r="C208" s="27" t="s">
        <v>3</v>
      </c>
      <c r="D208" s="29">
        <v>139.99999999999997</v>
      </c>
      <c r="E208" s="27" t="s">
        <v>322</v>
      </c>
      <c r="F208" s="27" t="s">
        <v>140</v>
      </c>
      <c r="G208" s="29">
        <v>129.99999999999997</v>
      </c>
    </row>
    <row r="209" spans="2:7" x14ac:dyDescent="0.25">
      <c r="B209" s="27" t="s">
        <v>323</v>
      </c>
      <c r="C209" s="27" t="s">
        <v>3</v>
      </c>
      <c r="D209" s="29">
        <v>19.999999999999972</v>
      </c>
      <c r="E209" s="27" t="s">
        <v>324</v>
      </c>
      <c r="F209" s="27" t="s">
        <v>140</v>
      </c>
      <c r="G209" s="29">
        <v>9.9999999999999716</v>
      </c>
    </row>
    <row r="210" spans="2:7" x14ac:dyDescent="0.25">
      <c r="B210" s="27" t="s">
        <v>325</v>
      </c>
      <c r="C210" s="27" t="s">
        <v>3</v>
      </c>
      <c r="D210" s="29">
        <v>34.999999999999972</v>
      </c>
      <c r="E210" s="27" t="s">
        <v>326</v>
      </c>
      <c r="F210" s="27" t="s">
        <v>140</v>
      </c>
      <c r="G210" s="29">
        <v>24.999999999999972</v>
      </c>
    </row>
    <row r="211" spans="2:7" x14ac:dyDescent="0.25">
      <c r="B211" s="27" t="s">
        <v>43</v>
      </c>
      <c r="C211" s="27" t="s">
        <v>12</v>
      </c>
      <c r="D211" s="29">
        <v>1</v>
      </c>
      <c r="E211" s="27" t="s">
        <v>327</v>
      </c>
      <c r="F211" s="27" t="s">
        <v>140</v>
      </c>
      <c r="G211" s="27">
        <v>4</v>
      </c>
    </row>
    <row r="212" spans="2:7" x14ac:dyDescent="0.25">
      <c r="B212" s="27" t="s">
        <v>44</v>
      </c>
      <c r="C212" s="27" t="s">
        <v>12</v>
      </c>
      <c r="D212" s="29">
        <v>0</v>
      </c>
      <c r="E212" s="27" t="s">
        <v>328</v>
      </c>
      <c r="F212" s="27" t="s">
        <v>140</v>
      </c>
      <c r="G212" s="27">
        <v>5</v>
      </c>
    </row>
    <row r="213" spans="2:7" x14ac:dyDescent="0.25">
      <c r="B213" s="27" t="s">
        <v>45</v>
      </c>
      <c r="C213" s="27" t="s">
        <v>12</v>
      </c>
      <c r="D213" s="29">
        <v>0</v>
      </c>
      <c r="E213" s="27" t="s">
        <v>329</v>
      </c>
      <c r="F213" s="27" t="s">
        <v>140</v>
      </c>
      <c r="G213" s="27">
        <v>5</v>
      </c>
    </row>
    <row r="214" spans="2:7" x14ac:dyDescent="0.25">
      <c r="B214" s="27" t="s">
        <v>46</v>
      </c>
      <c r="C214" s="27" t="s">
        <v>12</v>
      </c>
      <c r="D214" s="29">
        <v>0</v>
      </c>
      <c r="E214" s="27" t="s">
        <v>330</v>
      </c>
      <c r="F214" s="27" t="s">
        <v>140</v>
      </c>
      <c r="G214" s="27">
        <v>5</v>
      </c>
    </row>
    <row r="215" spans="2:7" x14ac:dyDescent="0.25">
      <c r="B215" s="27" t="s">
        <v>47</v>
      </c>
      <c r="C215" s="27" t="s">
        <v>12</v>
      </c>
      <c r="D215" s="29">
        <v>0</v>
      </c>
      <c r="E215" s="27" t="s">
        <v>331</v>
      </c>
      <c r="F215" s="27" t="s">
        <v>140</v>
      </c>
      <c r="G215" s="27">
        <v>5</v>
      </c>
    </row>
    <row r="216" spans="2:7" x14ac:dyDescent="0.25">
      <c r="B216" s="27" t="s">
        <v>48</v>
      </c>
      <c r="C216" s="27" t="s">
        <v>12</v>
      </c>
      <c r="D216" s="29">
        <v>0</v>
      </c>
      <c r="E216" s="27" t="s">
        <v>332</v>
      </c>
      <c r="F216" s="27" t="s">
        <v>140</v>
      </c>
      <c r="G216" s="27">
        <v>5</v>
      </c>
    </row>
    <row r="217" spans="2:7" x14ac:dyDescent="0.25">
      <c r="B217" s="27" t="s">
        <v>49</v>
      </c>
      <c r="C217" s="27" t="s">
        <v>12</v>
      </c>
      <c r="D217" s="29">
        <v>0</v>
      </c>
      <c r="E217" s="27" t="s">
        <v>333</v>
      </c>
      <c r="F217" s="27" t="s">
        <v>140</v>
      </c>
      <c r="G217" s="27">
        <v>5</v>
      </c>
    </row>
    <row r="218" spans="2:7" x14ac:dyDescent="0.25">
      <c r="B218" s="27" t="s">
        <v>50</v>
      </c>
      <c r="C218" s="27" t="s">
        <v>12</v>
      </c>
      <c r="D218" s="29">
        <v>0</v>
      </c>
      <c r="E218" s="27" t="s">
        <v>334</v>
      </c>
      <c r="F218" s="27" t="s">
        <v>140</v>
      </c>
      <c r="G218" s="27">
        <v>5</v>
      </c>
    </row>
    <row r="219" spans="2:7" x14ac:dyDescent="0.25">
      <c r="B219" s="27" t="s">
        <v>51</v>
      </c>
      <c r="C219" s="27" t="s">
        <v>12</v>
      </c>
      <c r="D219" s="29">
        <v>0</v>
      </c>
      <c r="E219" s="27" t="s">
        <v>335</v>
      </c>
      <c r="F219" s="27" t="s">
        <v>140</v>
      </c>
      <c r="G219" s="27">
        <v>5</v>
      </c>
    </row>
    <row r="220" spans="2:7" x14ac:dyDescent="0.25">
      <c r="B220" s="27" t="s">
        <v>52</v>
      </c>
      <c r="C220" s="27" t="s">
        <v>12</v>
      </c>
      <c r="D220" s="29">
        <v>0</v>
      </c>
      <c r="E220" s="27" t="s">
        <v>336</v>
      </c>
      <c r="F220" s="27" t="s">
        <v>140</v>
      </c>
      <c r="G220" s="27">
        <v>5</v>
      </c>
    </row>
    <row r="221" spans="2:7" x14ac:dyDescent="0.25">
      <c r="B221" s="27" t="s">
        <v>53</v>
      </c>
      <c r="C221" s="27" t="s">
        <v>12</v>
      </c>
      <c r="D221" s="29">
        <v>1</v>
      </c>
      <c r="E221" s="27" t="s">
        <v>337</v>
      </c>
      <c r="F221" s="27" t="s">
        <v>140</v>
      </c>
      <c r="G221" s="27">
        <v>4</v>
      </c>
    </row>
    <row r="222" spans="2:7" x14ac:dyDescent="0.25">
      <c r="B222" s="27" t="s">
        <v>54</v>
      </c>
      <c r="C222" s="27" t="s">
        <v>12</v>
      </c>
      <c r="D222" s="29">
        <v>0</v>
      </c>
      <c r="E222" s="27" t="s">
        <v>338</v>
      </c>
      <c r="F222" s="27" t="s">
        <v>140</v>
      </c>
      <c r="G222" s="27">
        <v>5</v>
      </c>
    </row>
    <row r="223" spans="2:7" x14ac:dyDescent="0.25">
      <c r="B223" s="27" t="s">
        <v>55</v>
      </c>
      <c r="C223" s="27" t="s">
        <v>12</v>
      </c>
      <c r="D223" s="29">
        <v>1</v>
      </c>
      <c r="E223" s="27" t="s">
        <v>339</v>
      </c>
      <c r="F223" s="27" t="s">
        <v>140</v>
      </c>
      <c r="G223" s="27">
        <v>4</v>
      </c>
    </row>
    <row r="224" spans="2:7" x14ac:dyDescent="0.25">
      <c r="B224" s="27" t="s">
        <v>56</v>
      </c>
      <c r="C224" s="27" t="s">
        <v>12</v>
      </c>
      <c r="D224" s="29">
        <v>0</v>
      </c>
      <c r="E224" s="27" t="s">
        <v>340</v>
      </c>
      <c r="F224" s="27" t="s">
        <v>140</v>
      </c>
      <c r="G224" s="27">
        <v>5</v>
      </c>
    </row>
    <row r="225" spans="2:7" x14ac:dyDescent="0.25">
      <c r="B225" s="27" t="s">
        <v>57</v>
      </c>
      <c r="C225" s="27" t="s">
        <v>12</v>
      </c>
      <c r="D225" s="29">
        <v>1</v>
      </c>
      <c r="E225" s="27" t="s">
        <v>341</v>
      </c>
      <c r="F225" s="27" t="s">
        <v>140</v>
      </c>
      <c r="G225" s="27">
        <v>4</v>
      </c>
    </row>
    <row r="226" spans="2:7" x14ac:dyDescent="0.25">
      <c r="B226" s="27" t="s">
        <v>58</v>
      </c>
      <c r="C226" s="27" t="s">
        <v>12</v>
      </c>
      <c r="D226" s="29">
        <v>0</v>
      </c>
      <c r="E226" s="27" t="s">
        <v>342</v>
      </c>
      <c r="F226" s="27" t="s">
        <v>140</v>
      </c>
      <c r="G226" s="27">
        <v>5</v>
      </c>
    </row>
    <row r="227" spans="2:7" x14ac:dyDescent="0.25">
      <c r="B227" s="27" t="s">
        <v>59</v>
      </c>
      <c r="C227" s="27" t="s">
        <v>12</v>
      </c>
      <c r="D227" s="29">
        <v>0</v>
      </c>
      <c r="E227" s="27" t="s">
        <v>343</v>
      </c>
      <c r="F227" s="27" t="s">
        <v>140</v>
      </c>
      <c r="G227" s="27">
        <v>5</v>
      </c>
    </row>
    <row r="228" spans="2:7" x14ac:dyDescent="0.25">
      <c r="B228" s="27" t="s">
        <v>60</v>
      </c>
      <c r="C228" s="27" t="s">
        <v>12</v>
      </c>
      <c r="D228" s="29">
        <v>0</v>
      </c>
      <c r="E228" s="27" t="s">
        <v>344</v>
      </c>
      <c r="F228" s="27" t="s">
        <v>140</v>
      </c>
      <c r="G228" s="27">
        <v>5</v>
      </c>
    </row>
    <row r="229" spans="2:7" x14ac:dyDescent="0.25">
      <c r="B229" s="27" t="s">
        <v>61</v>
      </c>
      <c r="C229" s="27" t="s">
        <v>12</v>
      </c>
      <c r="D229" s="29">
        <v>0</v>
      </c>
      <c r="E229" s="27" t="s">
        <v>345</v>
      </c>
      <c r="F229" s="27" t="s">
        <v>140</v>
      </c>
      <c r="G229" s="27">
        <v>5</v>
      </c>
    </row>
    <row r="230" spans="2:7" x14ac:dyDescent="0.25">
      <c r="B230" s="27" t="s">
        <v>62</v>
      </c>
      <c r="C230" s="27" t="s">
        <v>12</v>
      </c>
      <c r="D230" s="29">
        <v>0</v>
      </c>
      <c r="E230" s="27" t="s">
        <v>346</v>
      </c>
      <c r="F230" s="27" t="s">
        <v>140</v>
      </c>
      <c r="G230" s="27">
        <v>5</v>
      </c>
    </row>
    <row r="231" spans="2:7" x14ac:dyDescent="0.25">
      <c r="B231" s="27" t="s">
        <v>63</v>
      </c>
      <c r="C231" s="27" t="s">
        <v>12</v>
      </c>
      <c r="D231" s="29">
        <v>0</v>
      </c>
      <c r="E231" s="27" t="s">
        <v>347</v>
      </c>
      <c r="F231" s="27" t="s">
        <v>140</v>
      </c>
      <c r="G231" s="27">
        <v>5</v>
      </c>
    </row>
    <row r="232" spans="2:7" x14ac:dyDescent="0.25">
      <c r="B232" s="27" t="s">
        <v>64</v>
      </c>
      <c r="C232" s="27" t="s">
        <v>12</v>
      </c>
      <c r="D232" s="29">
        <v>1</v>
      </c>
      <c r="E232" s="27" t="s">
        <v>348</v>
      </c>
      <c r="F232" s="27" t="s">
        <v>140</v>
      </c>
      <c r="G232" s="27">
        <v>4</v>
      </c>
    </row>
    <row r="233" spans="2:7" x14ac:dyDescent="0.25">
      <c r="B233" s="27" t="s">
        <v>65</v>
      </c>
      <c r="C233" s="27" t="s">
        <v>12</v>
      </c>
      <c r="D233" s="29">
        <v>0</v>
      </c>
      <c r="E233" s="27" t="s">
        <v>349</v>
      </c>
      <c r="F233" s="27" t="s">
        <v>140</v>
      </c>
      <c r="G233" s="27">
        <v>5</v>
      </c>
    </row>
    <row r="234" spans="2:7" x14ac:dyDescent="0.25">
      <c r="B234" s="27" t="s">
        <v>66</v>
      </c>
      <c r="C234" s="27" t="s">
        <v>67</v>
      </c>
      <c r="D234" s="29">
        <v>0</v>
      </c>
      <c r="E234" s="27" t="s">
        <v>350</v>
      </c>
      <c r="F234" s="27" t="s">
        <v>140</v>
      </c>
      <c r="G234" s="27">
        <v>5</v>
      </c>
    </row>
    <row r="235" spans="2:7" x14ac:dyDescent="0.25">
      <c r="B235" s="27" t="s">
        <v>68</v>
      </c>
      <c r="C235" s="27" t="s">
        <v>12</v>
      </c>
      <c r="D235" s="29">
        <v>1</v>
      </c>
      <c r="E235" s="27" t="s">
        <v>351</v>
      </c>
      <c r="F235" s="27" t="s">
        <v>140</v>
      </c>
      <c r="G235" s="27">
        <v>4</v>
      </c>
    </row>
    <row r="236" spans="2:7" x14ac:dyDescent="0.25">
      <c r="B236" s="27" t="s">
        <v>69</v>
      </c>
      <c r="C236" s="27" t="s">
        <v>12</v>
      </c>
      <c r="D236" s="29">
        <v>0</v>
      </c>
      <c r="E236" s="27" t="s">
        <v>352</v>
      </c>
      <c r="F236" s="27" t="s">
        <v>140</v>
      </c>
      <c r="G236" s="27">
        <v>5</v>
      </c>
    </row>
    <row r="237" spans="2:7" x14ac:dyDescent="0.25">
      <c r="B237" s="27" t="s">
        <v>70</v>
      </c>
      <c r="C237" s="27" t="s">
        <v>12</v>
      </c>
      <c r="D237" s="29">
        <v>0</v>
      </c>
      <c r="E237" s="27" t="s">
        <v>353</v>
      </c>
      <c r="F237" s="27" t="s">
        <v>140</v>
      </c>
      <c r="G237" s="27">
        <v>5</v>
      </c>
    </row>
    <row r="238" spans="2:7" x14ac:dyDescent="0.25">
      <c r="B238" s="27" t="s">
        <v>71</v>
      </c>
      <c r="C238" s="27" t="s">
        <v>12</v>
      </c>
      <c r="D238" s="29">
        <v>0</v>
      </c>
      <c r="E238" s="27" t="s">
        <v>354</v>
      </c>
      <c r="F238" s="27" t="s">
        <v>140</v>
      </c>
      <c r="G238" s="27">
        <v>5</v>
      </c>
    </row>
    <row r="239" spans="2:7" x14ac:dyDescent="0.25">
      <c r="B239" s="27" t="s">
        <v>72</v>
      </c>
      <c r="C239" s="27" t="s">
        <v>12</v>
      </c>
      <c r="D239" s="29">
        <v>1</v>
      </c>
      <c r="E239" s="27" t="s">
        <v>355</v>
      </c>
      <c r="F239" s="27" t="s">
        <v>140</v>
      </c>
      <c r="G239" s="27">
        <v>4</v>
      </c>
    </row>
    <row r="240" spans="2:7" x14ac:dyDescent="0.25">
      <c r="B240" s="27" t="s">
        <v>73</v>
      </c>
      <c r="C240" s="27" t="s">
        <v>12</v>
      </c>
      <c r="D240" s="29">
        <v>0</v>
      </c>
      <c r="E240" s="27" t="s">
        <v>356</v>
      </c>
      <c r="F240" s="27" t="s">
        <v>140</v>
      </c>
      <c r="G240" s="27">
        <v>5</v>
      </c>
    </row>
    <row r="241" spans="2:7" x14ac:dyDescent="0.25">
      <c r="B241" s="27" t="s">
        <v>74</v>
      </c>
      <c r="C241" s="27" t="s">
        <v>12</v>
      </c>
      <c r="D241" s="29">
        <v>1</v>
      </c>
      <c r="E241" s="27" t="s">
        <v>357</v>
      </c>
      <c r="F241" s="27" t="s">
        <v>140</v>
      </c>
      <c r="G241" s="27">
        <v>4</v>
      </c>
    </row>
    <row r="242" spans="2:7" x14ac:dyDescent="0.25">
      <c r="B242" s="27" t="s">
        <v>75</v>
      </c>
      <c r="C242" s="27" t="s">
        <v>12</v>
      </c>
      <c r="D242" s="29">
        <v>0</v>
      </c>
      <c r="E242" s="27" t="s">
        <v>358</v>
      </c>
      <c r="F242" s="27" t="s">
        <v>140</v>
      </c>
      <c r="G242" s="27">
        <v>5</v>
      </c>
    </row>
    <row r="243" spans="2:7" x14ac:dyDescent="0.25">
      <c r="B243" s="27" t="s">
        <v>76</v>
      </c>
      <c r="C243" s="27" t="s">
        <v>77</v>
      </c>
      <c r="D243" s="29">
        <v>1</v>
      </c>
      <c r="E243" s="27" t="s">
        <v>359</v>
      </c>
      <c r="F243" s="27" t="s">
        <v>140</v>
      </c>
      <c r="G243" s="27">
        <v>4</v>
      </c>
    </row>
    <row r="244" spans="2:7" x14ac:dyDescent="0.25">
      <c r="B244" s="27" t="s">
        <v>78</v>
      </c>
      <c r="C244" s="27" t="s">
        <v>12</v>
      </c>
      <c r="D244" s="29">
        <v>1</v>
      </c>
      <c r="E244" s="27" t="s">
        <v>360</v>
      </c>
      <c r="F244" s="27" t="s">
        <v>140</v>
      </c>
      <c r="G244" s="27">
        <v>4</v>
      </c>
    </row>
    <row r="245" spans="2:7" x14ac:dyDescent="0.25">
      <c r="B245" s="27" t="s">
        <v>79</v>
      </c>
      <c r="C245" s="27" t="s">
        <v>12</v>
      </c>
      <c r="D245" s="29">
        <v>1</v>
      </c>
      <c r="E245" s="27" t="s">
        <v>361</v>
      </c>
      <c r="F245" s="27" t="s">
        <v>140</v>
      </c>
      <c r="G245" s="27">
        <v>4</v>
      </c>
    </row>
    <row r="246" spans="2:7" x14ac:dyDescent="0.25">
      <c r="B246" s="27" t="s">
        <v>80</v>
      </c>
      <c r="C246" s="27" t="s">
        <v>12</v>
      </c>
      <c r="D246" s="29">
        <v>0</v>
      </c>
      <c r="E246" s="27" t="s">
        <v>362</v>
      </c>
      <c r="F246" s="27" t="s">
        <v>140</v>
      </c>
      <c r="G246" s="27">
        <v>5</v>
      </c>
    </row>
    <row r="247" spans="2:7" x14ac:dyDescent="0.25">
      <c r="B247" s="27" t="s">
        <v>81</v>
      </c>
      <c r="C247" s="27" t="s">
        <v>12</v>
      </c>
      <c r="D247" s="29">
        <v>0</v>
      </c>
      <c r="E247" s="27" t="s">
        <v>363</v>
      </c>
      <c r="F247" s="27" t="s">
        <v>140</v>
      </c>
      <c r="G247" s="27">
        <v>5</v>
      </c>
    </row>
    <row r="248" spans="2:7" x14ac:dyDescent="0.25">
      <c r="B248" s="27" t="s">
        <v>82</v>
      </c>
      <c r="C248" s="27" t="s">
        <v>12</v>
      </c>
      <c r="D248" s="29">
        <v>0</v>
      </c>
      <c r="E248" s="27" t="s">
        <v>364</v>
      </c>
      <c r="F248" s="27" t="s">
        <v>140</v>
      </c>
      <c r="G248" s="27">
        <v>5</v>
      </c>
    </row>
    <row r="249" spans="2:7" x14ac:dyDescent="0.25">
      <c r="B249" s="27" t="s">
        <v>83</v>
      </c>
      <c r="C249" s="27" t="s">
        <v>12</v>
      </c>
      <c r="D249" s="29">
        <v>0</v>
      </c>
      <c r="E249" s="27" t="s">
        <v>365</v>
      </c>
      <c r="F249" s="27" t="s">
        <v>140</v>
      </c>
      <c r="G249" s="27">
        <v>5</v>
      </c>
    </row>
    <row r="250" spans="2:7" x14ac:dyDescent="0.25">
      <c r="B250" s="27" t="s">
        <v>84</v>
      </c>
      <c r="C250" s="27" t="s">
        <v>12</v>
      </c>
      <c r="D250" s="29">
        <v>0</v>
      </c>
      <c r="E250" s="27" t="s">
        <v>366</v>
      </c>
      <c r="F250" s="27" t="s">
        <v>140</v>
      </c>
      <c r="G250" s="27">
        <v>5</v>
      </c>
    </row>
    <row r="251" spans="2:7" x14ac:dyDescent="0.25">
      <c r="B251" s="27" t="s">
        <v>85</v>
      </c>
      <c r="C251" s="27" t="s">
        <v>12</v>
      </c>
      <c r="D251" s="29">
        <v>1</v>
      </c>
      <c r="E251" s="27" t="s">
        <v>367</v>
      </c>
      <c r="F251" s="27" t="s">
        <v>140</v>
      </c>
      <c r="G251" s="27">
        <v>4</v>
      </c>
    </row>
    <row r="252" spans="2:7" x14ac:dyDescent="0.25">
      <c r="B252" s="27" t="s">
        <v>86</v>
      </c>
      <c r="C252" s="27" t="s">
        <v>12</v>
      </c>
      <c r="D252" s="29">
        <v>0</v>
      </c>
      <c r="E252" s="27" t="s">
        <v>368</v>
      </c>
      <c r="F252" s="27" t="s">
        <v>140</v>
      </c>
      <c r="G252" s="27">
        <v>5</v>
      </c>
    </row>
    <row r="253" spans="2:7" x14ac:dyDescent="0.25">
      <c r="B253" s="27" t="s">
        <v>87</v>
      </c>
      <c r="C253" s="27" t="s">
        <v>12</v>
      </c>
      <c r="D253" s="29">
        <v>1</v>
      </c>
      <c r="E253" s="27" t="s">
        <v>369</v>
      </c>
      <c r="F253" s="27" t="s">
        <v>140</v>
      </c>
      <c r="G253" s="27">
        <v>4</v>
      </c>
    </row>
    <row r="254" spans="2:7" x14ac:dyDescent="0.25">
      <c r="B254" s="27" t="s">
        <v>88</v>
      </c>
      <c r="C254" s="27" t="s">
        <v>12</v>
      </c>
      <c r="D254" s="29">
        <v>0</v>
      </c>
      <c r="E254" s="27" t="s">
        <v>370</v>
      </c>
      <c r="F254" s="27" t="s">
        <v>140</v>
      </c>
      <c r="G254" s="27">
        <v>5</v>
      </c>
    </row>
    <row r="255" spans="2:7" x14ac:dyDescent="0.25">
      <c r="B255" s="27" t="s">
        <v>89</v>
      </c>
      <c r="C255" s="27" t="s">
        <v>12</v>
      </c>
      <c r="D255" s="29">
        <v>1</v>
      </c>
      <c r="E255" s="27" t="s">
        <v>371</v>
      </c>
      <c r="F255" s="27" t="s">
        <v>140</v>
      </c>
      <c r="G255" s="27">
        <v>4</v>
      </c>
    </row>
    <row r="256" spans="2:7" x14ac:dyDescent="0.25">
      <c r="B256" s="27" t="s">
        <v>90</v>
      </c>
      <c r="C256" s="27" t="s">
        <v>12</v>
      </c>
      <c r="D256" s="29">
        <v>0</v>
      </c>
      <c r="E256" s="27" t="s">
        <v>372</v>
      </c>
      <c r="F256" s="27" t="s">
        <v>140</v>
      </c>
      <c r="G256" s="27">
        <v>5</v>
      </c>
    </row>
    <row r="257" spans="2:7" x14ac:dyDescent="0.25">
      <c r="B257" s="27" t="s">
        <v>91</v>
      </c>
      <c r="C257" s="27" t="s">
        <v>12</v>
      </c>
      <c r="D257" s="29">
        <v>1</v>
      </c>
      <c r="E257" s="27" t="s">
        <v>373</v>
      </c>
      <c r="F257" s="27" t="s">
        <v>140</v>
      </c>
      <c r="G257" s="27">
        <v>4</v>
      </c>
    </row>
    <row r="258" spans="2:7" x14ac:dyDescent="0.25">
      <c r="B258" s="27" t="s">
        <v>92</v>
      </c>
      <c r="C258" s="27" t="s">
        <v>12</v>
      </c>
      <c r="D258" s="29">
        <v>0</v>
      </c>
      <c r="E258" s="27" t="s">
        <v>374</v>
      </c>
      <c r="F258" s="27" t="s">
        <v>140</v>
      </c>
      <c r="G258" s="27">
        <v>5</v>
      </c>
    </row>
    <row r="259" spans="2:7" x14ac:dyDescent="0.25">
      <c r="B259" s="27" t="s">
        <v>93</v>
      </c>
      <c r="C259" s="27" t="s">
        <v>12</v>
      </c>
      <c r="D259" s="29">
        <v>0</v>
      </c>
      <c r="E259" s="27" t="s">
        <v>375</v>
      </c>
      <c r="F259" s="27" t="s">
        <v>140</v>
      </c>
      <c r="G259" s="27">
        <v>5</v>
      </c>
    </row>
    <row r="260" spans="2:7" x14ac:dyDescent="0.25">
      <c r="B260" s="27" t="s">
        <v>94</v>
      </c>
      <c r="C260" s="27" t="s">
        <v>12</v>
      </c>
      <c r="D260" s="29">
        <v>1</v>
      </c>
      <c r="E260" s="27" t="s">
        <v>376</v>
      </c>
      <c r="F260" s="27" t="s">
        <v>140</v>
      </c>
      <c r="G260" s="27">
        <v>4</v>
      </c>
    </row>
    <row r="261" spans="2:7" x14ac:dyDescent="0.25">
      <c r="B261" s="27" t="s">
        <v>95</v>
      </c>
      <c r="C261" s="27" t="s">
        <v>12</v>
      </c>
      <c r="D261" s="29">
        <v>2</v>
      </c>
      <c r="E261" s="27" t="s">
        <v>377</v>
      </c>
      <c r="F261" s="27" t="s">
        <v>140</v>
      </c>
      <c r="G261" s="27">
        <v>3</v>
      </c>
    </row>
    <row r="262" spans="2:7" x14ac:dyDescent="0.25">
      <c r="B262" s="27" t="s">
        <v>96</v>
      </c>
      <c r="C262" s="27" t="s">
        <v>12</v>
      </c>
      <c r="D262" s="29">
        <v>0</v>
      </c>
      <c r="E262" s="27" t="s">
        <v>378</v>
      </c>
      <c r="F262" s="27" t="s">
        <v>140</v>
      </c>
      <c r="G262" s="27">
        <v>5</v>
      </c>
    </row>
    <row r="263" spans="2:7" x14ac:dyDescent="0.25">
      <c r="B263" s="27" t="s">
        <v>97</v>
      </c>
      <c r="C263" s="27" t="s">
        <v>12</v>
      </c>
      <c r="D263" s="29">
        <v>1</v>
      </c>
      <c r="E263" s="27" t="s">
        <v>379</v>
      </c>
      <c r="F263" s="27" t="s">
        <v>140</v>
      </c>
      <c r="G263" s="27">
        <v>4</v>
      </c>
    </row>
    <row r="264" spans="2:7" x14ac:dyDescent="0.25">
      <c r="B264" s="27" t="s">
        <v>98</v>
      </c>
      <c r="C264" s="27" t="s">
        <v>12</v>
      </c>
      <c r="D264" s="29">
        <v>0</v>
      </c>
      <c r="E264" s="27" t="s">
        <v>380</v>
      </c>
      <c r="F264" s="27" t="s">
        <v>140</v>
      </c>
      <c r="G264" s="27">
        <v>5</v>
      </c>
    </row>
    <row r="265" spans="2:7" x14ac:dyDescent="0.25">
      <c r="B265" s="27" t="s">
        <v>99</v>
      </c>
      <c r="C265" s="27" t="s">
        <v>12</v>
      </c>
      <c r="D265" s="29">
        <v>0</v>
      </c>
      <c r="E265" s="27" t="s">
        <v>381</v>
      </c>
      <c r="F265" s="27" t="s">
        <v>140</v>
      </c>
      <c r="G265" s="27">
        <v>5</v>
      </c>
    </row>
    <row r="266" spans="2:7" x14ac:dyDescent="0.25">
      <c r="B266" s="27" t="s">
        <v>100</v>
      </c>
      <c r="C266" s="27" t="s">
        <v>12</v>
      </c>
      <c r="D266" s="29">
        <v>0</v>
      </c>
      <c r="E266" s="27" t="s">
        <v>382</v>
      </c>
      <c r="F266" s="27" t="s">
        <v>140</v>
      </c>
      <c r="G266" s="27">
        <v>5</v>
      </c>
    </row>
    <row r="267" spans="2:7" x14ac:dyDescent="0.25">
      <c r="B267" s="27" t="s">
        <v>101</v>
      </c>
      <c r="C267" s="27" t="s">
        <v>12</v>
      </c>
      <c r="D267" s="29">
        <v>1</v>
      </c>
      <c r="E267" s="27" t="s">
        <v>383</v>
      </c>
      <c r="F267" s="27" t="s">
        <v>140</v>
      </c>
      <c r="G267" s="27">
        <v>4</v>
      </c>
    </row>
    <row r="268" spans="2:7" x14ac:dyDescent="0.25">
      <c r="B268" s="27" t="s">
        <v>102</v>
      </c>
      <c r="C268" s="27" t="s">
        <v>12</v>
      </c>
      <c r="D268" s="29">
        <v>0</v>
      </c>
      <c r="E268" s="27" t="s">
        <v>384</v>
      </c>
      <c r="F268" s="27" t="s">
        <v>140</v>
      </c>
      <c r="G268" s="27">
        <v>5</v>
      </c>
    </row>
    <row r="269" spans="2:7" x14ac:dyDescent="0.25">
      <c r="B269" s="27" t="s">
        <v>103</v>
      </c>
      <c r="C269" s="27" t="s">
        <v>12</v>
      </c>
      <c r="D269" s="29">
        <v>2</v>
      </c>
      <c r="E269" s="27" t="s">
        <v>385</v>
      </c>
      <c r="F269" s="27" t="s">
        <v>140</v>
      </c>
      <c r="G269" s="27">
        <v>3</v>
      </c>
    </row>
    <row r="270" spans="2:7" x14ac:dyDescent="0.25">
      <c r="B270" s="27" t="s">
        <v>104</v>
      </c>
      <c r="C270" s="27" t="s">
        <v>12</v>
      </c>
      <c r="D270" s="29">
        <v>0</v>
      </c>
      <c r="E270" s="27" t="s">
        <v>386</v>
      </c>
      <c r="F270" s="27" t="s">
        <v>140</v>
      </c>
      <c r="G270" s="27">
        <v>5</v>
      </c>
    </row>
    <row r="271" spans="2:7" x14ac:dyDescent="0.25">
      <c r="B271" s="27" t="s">
        <v>105</v>
      </c>
      <c r="C271" s="27" t="s">
        <v>12</v>
      </c>
      <c r="D271" s="29">
        <v>0</v>
      </c>
      <c r="E271" s="27" t="s">
        <v>387</v>
      </c>
      <c r="F271" s="27" t="s">
        <v>140</v>
      </c>
      <c r="G271" s="27">
        <v>5</v>
      </c>
    </row>
    <row r="272" spans="2:7" x14ac:dyDescent="0.25">
      <c r="B272" s="27" t="s">
        <v>106</v>
      </c>
      <c r="C272" s="27" t="s">
        <v>12</v>
      </c>
      <c r="D272" s="29">
        <v>0</v>
      </c>
      <c r="E272" s="27" t="s">
        <v>388</v>
      </c>
      <c r="F272" s="27" t="s">
        <v>140</v>
      </c>
      <c r="G272" s="27">
        <v>5</v>
      </c>
    </row>
    <row r="273" spans="2:7" x14ac:dyDescent="0.25">
      <c r="B273" s="27" t="s">
        <v>107</v>
      </c>
      <c r="C273" s="27" t="s">
        <v>12</v>
      </c>
      <c r="D273" s="29">
        <v>1</v>
      </c>
      <c r="E273" s="27" t="s">
        <v>389</v>
      </c>
      <c r="F273" s="27" t="s">
        <v>140</v>
      </c>
      <c r="G273" s="27">
        <v>4</v>
      </c>
    </row>
    <row r="274" spans="2:7" x14ac:dyDescent="0.25">
      <c r="B274" s="27" t="s">
        <v>108</v>
      </c>
      <c r="C274" s="27" t="s">
        <v>12</v>
      </c>
      <c r="D274" s="29">
        <v>1</v>
      </c>
      <c r="E274" s="27" t="s">
        <v>390</v>
      </c>
      <c r="F274" s="27" t="s">
        <v>140</v>
      </c>
      <c r="G274" s="27">
        <v>4</v>
      </c>
    </row>
    <row r="275" spans="2:7" x14ac:dyDescent="0.25">
      <c r="B275" s="27" t="s">
        <v>109</v>
      </c>
      <c r="C275" s="27" t="s">
        <v>12</v>
      </c>
      <c r="D275" s="29">
        <v>0</v>
      </c>
      <c r="E275" s="27" t="s">
        <v>391</v>
      </c>
      <c r="F275" s="27" t="s">
        <v>140</v>
      </c>
      <c r="G275" s="27">
        <v>5</v>
      </c>
    </row>
    <row r="276" spans="2:7" x14ac:dyDescent="0.25">
      <c r="B276" s="27" t="s">
        <v>110</v>
      </c>
      <c r="C276" s="27" t="s">
        <v>12</v>
      </c>
      <c r="D276" s="29">
        <v>0</v>
      </c>
      <c r="E276" s="27" t="s">
        <v>392</v>
      </c>
      <c r="F276" s="27" t="s">
        <v>140</v>
      </c>
      <c r="G276" s="27">
        <v>5</v>
      </c>
    </row>
    <row r="277" spans="2:7" x14ac:dyDescent="0.25">
      <c r="B277" s="27" t="s">
        <v>111</v>
      </c>
      <c r="C277" s="27" t="s">
        <v>12</v>
      </c>
      <c r="D277" s="29">
        <v>0</v>
      </c>
      <c r="E277" s="27" t="s">
        <v>393</v>
      </c>
      <c r="F277" s="27" t="s">
        <v>140</v>
      </c>
      <c r="G277" s="27">
        <v>5</v>
      </c>
    </row>
    <row r="278" spans="2:7" x14ac:dyDescent="0.25">
      <c r="B278" s="27" t="s">
        <v>112</v>
      </c>
      <c r="C278" s="27" t="s">
        <v>12</v>
      </c>
      <c r="D278" s="29">
        <v>1</v>
      </c>
      <c r="E278" s="27" t="s">
        <v>394</v>
      </c>
      <c r="F278" s="27" t="s">
        <v>140</v>
      </c>
      <c r="G278" s="27">
        <v>4</v>
      </c>
    </row>
    <row r="279" spans="2:7" x14ac:dyDescent="0.25">
      <c r="B279" s="27" t="s">
        <v>113</v>
      </c>
      <c r="C279" s="27" t="s">
        <v>12</v>
      </c>
      <c r="D279" s="29">
        <v>1</v>
      </c>
      <c r="E279" s="27" t="s">
        <v>395</v>
      </c>
      <c r="F279" s="27" t="s">
        <v>140</v>
      </c>
      <c r="G279" s="27">
        <v>4</v>
      </c>
    </row>
    <row r="280" spans="2:7" x14ac:dyDescent="0.25">
      <c r="B280" s="27" t="s">
        <v>114</v>
      </c>
      <c r="C280" s="27" t="s">
        <v>12</v>
      </c>
      <c r="D280" s="29">
        <v>0</v>
      </c>
      <c r="E280" s="27" t="s">
        <v>396</v>
      </c>
      <c r="F280" s="27" t="s">
        <v>140</v>
      </c>
      <c r="G280" s="27">
        <v>5</v>
      </c>
    </row>
    <row r="281" spans="2:7" x14ac:dyDescent="0.25">
      <c r="B281" s="27" t="s">
        <v>115</v>
      </c>
      <c r="C281" s="27" t="s">
        <v>12</v>
      </c>
      <c r="D281" s="29">
        <v>0</v>
      </c>
      <c r="E281" s="27" t="s">
        <v>397</v>
      </c>
      <c r="F281" s="27" t="s">
        <v>140</v>
      </c>
      <c r="G281" s="27">
        <v>5</v>
      </c>
    </row>
    <row r="282" spans="2:7" x14ac:dyDescent="0.25">
      <c r="B282" s="27" t="s">
        <v>116</v>
      </c>
      <c r="C282" s="27" t="s">
        <v>12</v>
      </c>
      <c r="D282" s="29">
        <v>1</v>
      </c>
      <c r="E282" s="27" t="s">
        <v>398</v>
      </c>
      <c r="F282" s="27" t="s">
        <v>140</v>
      </c>
      <c r="G282" s="27">
        <v>4</v>
      </c>
    </row>
    <row r="283" spans="2:7" x14ac:dyDescent="0.25">
      <c r="B283" s="27" t="s">
        <v>117</v>
      </c>
      <c r="C283" s="27" t="s">
        <v>12</v>
      </c>
      <c r="D283" s="29">
        <v>0</v>
      </c>
      <c r="E283" s="27" t="s">
        <v>399</v>
      </c>
      <c r="F283" s="27" t="s">
        <v>140</v>
      </c>
      <c r="G283" s="27">
        <v>5</v>
      </c>
    </row>
    <row r="284" spans="2:7" x14ac:dyDescent="0.25">
      <c r="B284" s="27" t="s">
        <v>118</v>
      </c>
      <c r="C284" s="27" t="s">
        <v>12</v>
      </c>
      <c r="D284" s="29">
        <v>0</v>
      </c>
      <c r="E284" s="27" t="s">
        <v>400</v>
      </c>
      <c r="F284" s="27" t="s">
        <v>140</v>
      </c>
      <c r="G284" s="27">
        <v>5</v>
      </c>
    </row>
    <row r="285" spans="2:7" x14ac:dyDescent="0.25">
      <c r="B285" s="27" t="s">
        <v>119</v>
      </c>
      <c r="C285" s="27" t="s">
        <v>12</v>
      </c>
      <c r="D285" s="29">
        <v>1</v>
      </c>
      <c r="E285" s="27" t="s">
        <v>401</v>
      </c>
      <c r="F285" s="27" t="s">
        <v>140</v>
      </c>
      <c r="G285" s="27">
        <v>4</v>
      </c>
    </row>
    <row r="286" spans="2:7" x14ac:dyDescent="0.25">
      <c r="B286" s="27" t="s">
        <v>120</v>
      </c>
      <c r="C286" s="27" t="s">
        <v>12</v>
      </c>
      <c r="D286" s="29">
        <v>1</v>
      </c>
      <c r="E286" s="27" t="s">
        <v>402</v>
      </c>
      <c r="F286" s="27" t="s">
        <v>140</v>
      </c>
      <c r="G286" s="27">
        <v>4</v>
      </c>
    </row>
    <row r="287" spans="2:7" x14ac:dyDescent="0.25">
      <c r="B287" s="27" t="s">
        <v>121</v>
      </c>
      <c r="C287" s="27" t="s">
        <v>12</v>
      </c>
      <c r="D287" s="29">
        <v>0</v>
      </c>
      <c r="E287" s="27" t="s">
        <v>403</v>
      </c>
      <c r="F287" s="27" t="s">
        <v>140</v>
      </c>
      <c r="G287" s="27">
        <v>5</v>
      </c>
    </row>
    <row r="288" spans="2:7" x14ac:dyDescent="0.25">
      <c r="B288" s="27" t="s">
        <v>122</v>
      </c>
      <c r="C288" s="27" t="s">
        <v>12</v>
      </c>
      <c r="D288" s="29">
        <v>0</v>
      </c>
      <c r="E288" s="27" t="s">
        <v>404</v>
      </c>
      <c r="F288" s="27" t="s">
        <v>140</v>
      </c>
      <c r="G288" s="27">
        <v>5</v>
      </c>
    </row>
    <row r="289" spans="2:7" x14ac:dyDescent="0.25">
      <c r="B289" s="27" t="s">
        <v>123</v>
      </c>
      <c r="C289" s="27" t="s">
        <v>12</v>
      </c>
      <c r="D289" s="29">
        <v>1</v>
      </c>
      <c r="E289" s="27" t="s">
        <v>405</v>
      </c>
      <c r="F289" s="27" t="s">
        <v>140</v>
      </c>
      <c r="G289" s="27">
        <v>4</v>
      </c>
    </row>
    <row r="290" spans="2:7" x14ac:dyDescent="0.25">
      <c r="B290" s="27" t="s">
        <v>124</v>
      </c>
      <c r="C290" s="27" t="s">
        <v>12</v>
      </c>
      <c r="D290" s="29">
        <v>0</v>
      </c>
      <c r="E290" s="27" t="s">
        <v>406</v>
      </c>
      <c r="F290" s="27" t="s">
        <v>140</v>
      </c>
      <c r="G290" s="27">
        <v>5</v>
      </c>
    </row>
    <row r="291" spans="2:7" x14ac:dyDescent="0.25">
      <c r="B291" s="27" t="s">
        <v>125</v>
      </c>
      <c r="C291" s="27" t="s">
        <v>12</v>
      </c>
      <c r="D291" s="29">
        <v>1</v>
      </c>
      <c r="E291" s="27" t="s">
        <v>407</v>
      </c>
      <c r="F291" s="27" t="s">
        <v>140</v>
      </c>
      <c r="G291" s="27">
        <v>4</v>
      </c>
    </row>
    <row r="292" spans="2:7" x14ac:dyDescent="0.25">
      <c r="B292" s="27" t="s">
        <v>126</v>
      </c>
      <c r="C292" s="27" t="s">
        <v>12</v>
      </c>
      <c r="D292" s="29">
        <v>0</v>
      </c>
      <c r="E292" s="27" t="s">
        <v>408</v>
      </c>
      <c r="F292" s="27" t="s">
        <v>140</v>
      </c>
      <c r="G292" s="27">
        <v>5</v>
      </c>
    </row>
    <row r="293" spans="2:7" x14ac:dyDescent="0.25">
      <c r="B293" s="27" t="s">
        <v>127</v>
      </c>
      <c r="C293" s="27" t="s">
        <v>12</v>
      </c>
      <c r="D293" s="29">
        <v>0</v>
      </c>
      <c r="E293" s="27" t="s">
        <v>409</v>
      </c>
      <c r="F293" s="27" t="s">
        <v>140</v>
      </c>
      <c r="G293" s="27">
        <v>5</v>
      </c>
    </row>
    <row r="294" spans="2:7" x14ac:dyDescent="0.25">
      <c r="B294" s="27" t="s">
        <v>128</v>
      </c>
      <c r="C294" s="27" t="s">
        <v>12</v>
      </c>
      <c r="D294" s="29">
        <v>1</v>
      </c>
      <c r="E294" s="27" t="s">
        <v>410</v>
      </c>
      <c r="F294" s="27" t="s">
        <v>140</v>
      </c>
      <c r="G294" s="27">
        <v>4</v>
      </c>
    </row>
    <row r="295" spans="2:7" x14ac:dyDescent="0.25">
      <c r="B295" s="27" t="s">
        <v>129</v>
      </c>
      <c r="C295" s="27" t="s">
        <v>12</v>
      </c>
      <c r="D295" s="29">
        <v>1</v>
      </c>
      <c r="E295" s="27" t="s">
        <v>411</v>
      </c>
      <c r="F295" s="27" t="s">
        <v>140</v>
      </c>
      <c r="G295" s="27">
        <v>4</v>
      </c>
    </row>
    <row r="296" spans="2:7" x14ac:dyDescent="0.25">
      <c r="B296" s="27" t="s">
        <v>130</v>
      </c>
      <c r="C296" s="27" t="s">
        <v>12</v>
      </c>
      <c r="D296" s="29">
        <v>1</v>
      </c>
      <c r="E296" s="27" t="s">
        <v>412</v>
      </c>
      <c r="F296" s="27" t="s">
        <v>140</v>
      </c>
      <c r="G296" s="27">
        <v>4</v>
      </c>
    </row>
    <row r="297" spans="2:7" x14ac:dyDescent="0.25">
      <c r="B297" s="27" t="s">
        <v>131</v>
      </c>
      <c r="C297" s="27" t="s">
        <v>12</v>
      </c>
      <c r="D297" s="29">
        <v>1</v>
      </c>
      <c r="E297" s="27" t="s">
        <v>413</v>
      </c>
      <c r="F297" s="27" t="s">
        <v>140</v>
      </c>
      <c r="G297" s="27">
        <v>4</v>
      </c>
    </row>
    <row r="298" spans="2:7" x14ac:dyDescent="0.25">
      <c r="B298" s="27" t="s">
        <v>132</v>
      </c>
      <c r="C298" s="27" t="s">
        <v>12</v>
      </c>
      <c r="D298" s="29">
        <v>1</v>
      </c>
      <c r="E298" s="27" t="s">
        <v>414</v>
      </c>
      <c r="F298" s="27" t="s">
        <v>140</v>
      </c>
      <c r="G298" s="27">
        <v>4</v>
      </c>
    </row>
    <row r="299" spans="2:7" x14ac:dyDescent="0.25">
      <c r="B299" s="27" t="s">
        <v>133</v>
      </c>
      <c r="C299" s="27" t="s">
        <v>12</v>
      </c>
      <c r="D299" s="29">
        <v>1</v>
      </c>
      <c r="E299" s="27" t="s">
        <v>415</v>
      </c>
      <c r="F299" s="27" t="s">
        <v>140</v>
      </c>
      <c r="G299" s="27">
        <v>4</v>
      </c>
    </row>
    <row r="300" spans="2:7" x14ac:dyDescent="0.25">
      <c r="B300" s="27" t="s">
        <v>134</v>
      </c>
      <c r="C300" s="27" t="s">
        <v>12</v>
      </c>
      <c r="D300" s="29">
        <v>1</v>
      </c>
      <c r="E300" s="27" t="s">
        <v>416</v>
      </c>
      <c r="F300" s="27" t="s">
        <v>140</v>
      </c>
      <c r="G300" s="27">
        <v>4</v>
      </c>
    </row>
    <row r="301" spans="2:7" x14ac:dyDescent="0.25">
      <c r="B301" s="27" t="s">
        <v>135</v>
      </c>
      <c r="C301" s="27" t="s">
        <v>12</v>
      </c>
      <c r="D301" s="29">
        <v>2</v>
      </c>
      <c r="E301" s="27" t="s">
        <v>417</v>
      </c>
      <c r="F301" s="27" t="s">
        <v>140</v>
      </c>
      <c r="G301" s="27">
        <v>3</v>
      </c>
    </row>
    <row r="302" spans="2:7" x14ac:dyDescent="0.25">
      <c r="B302" s="27" t="s">
        <v>136</v>
      </c>
      <c r="C302" s="27" t="s">
        <v>12</v>
      </c>
      <c r="D302" s="29">
        <v>2</v>
      </c>
      <c r="E302" s="27" t="s">
        <v>418</v>
      </c>
      <c r="F302" s="27" t="s">
        <v>140</v>
      </c>
      <c r="G302" s="27">
        <v>3</v>
      </c>
    </row>
    <row r="303" spans="2:7" x14ac:dyDescent="0.25">
      <c r="B303" s="27" t="s">
        <v>137</v>
      </c>
      <c r="C303" s="27" t="s">
        <v>12</v>
      </c>
      <c r="D303" s="29">
        <v>1</v>
      </c>
      <c r="E303" s="27" t="s">
        <v>419</v>
      </c>
      <c r="F303" s="27" t="s">
        <v>140</v>
      </c>
      <c r="G303" s="27">
        <v>4</v>
      </c>
    </row>
    <row r="304" spans="2:7" x14ac:dyDescent="0.25">
      <c r="B304" s="27" t="s">
        <v>43</v>
      </c>
      <c r="C304" s="27" t="s">
        <v>12</v>
      </c>
      <c r="D304" s="29">
        <v>1</v>
      </c>
      <c r="E304" s="27" t="s">
        <v>420</v>
      </c>
      <c r="F304" s="27" t="s">
        <v>140</v>
      </c>
      <c r="G304" s="29">
        <v>1</v>
      </c>
    </row>
    <row r="305" spans="2:7" x14ac:dyDescent="0.25">
      <c r="B305" s="27" t="s">
        <v>44</v>
      </c>
      <c r="C305" s="27" t="s">
        <v>12</v>
      </c>
      <c r="D305" s="29">
        <v>0</v>
      </c>
      <c r="E305" s="27" t="s">
        <v>421</v>
      </c>
      <c r="F305" s="27" t="s">
        <v>422</v>
      </c>
      <c r="G305" s="29">
        <v>0</v>
      </c>
    </row>
    <row r="306" spans="2:7" x14ac:dyDescent="0.25">
      <c r="B306" s="27" t="s">
        <v>45</v>
      </c>
      <c r="C306" s="27" t="s">
        <v>12</v>
      </c>
      <c r="D306" s="29">
        <v>0</v>
      </c>
      <c r="E306" s="27" t="s">
        <v>423</v>
      </c>
      <c r="F306" s="27" t="s">
        <v>422</v>
      </c>
      <c r="G306" s="29">
        <v>0</v>
      </c>
    </row>
    <row r="307" spans="2:7" x14ac:dyDescent="0.25">
      <c r="B307" s="27" t="s">
        <v>46</v>
      </c>
      <c r="C307" s="27" t="s">
        <v>12</v>
      </c>
      <c r="D307" s="29">
        <v>0</v>
      </c>
      <c r="E307" s="27" t="s">
        <v>424</v>
      </c>
      <c r="F307" s="27" t="s">
        <v>422</v>
      </c>
      <c r="G307" s="29">
        <v>0</v>
      </c>
    </row>
    <row r="308" spans="2:7" x14ac:dyDescent="0.25">
      <c r="B308" s="27" t="s">
        <v>47</v>
      </c>
      <c r="C308" s="27" t="s">
        <v>12</v>
      </c>
      <c r="D308" s="29">
        <v>0</v>
      </c>
      <c r="E308" s="27" t="s">
        <v>425</v>
      </c>
      <c r="F308" s="27" t="s">
        <v>422</v>
      </c>
      <c r="G308" s="29">
        <v>0</v>
      </c>
    </row>
    <row r="309" spans="2:7" x14ac:dyDescent="0.25">
      <c r="B309" s="27" t="s">
        <v>48</v>
      </c>
      <c r="C309" s="27" t="s">
        <v>12</v>
      </c>
      <c r="D309" s="29">
        <v>0</v>
      </c>
      <c r="E309" s="27" t="s">
        <v>426</v>
      </c>
      <c r="F309" s="27" t="s">
        <v>422</v>
      </c>
      <c r="G309" s="29">
        <v>0</v>
      </c>
    </row>
    <row r="310" spans="2:7" x14ac:dyDescent="0.25">
      <c r="B310" s="27" t="s">
        <v>49</v>
      </c>
      <c r="C310" s="27" t="s">
        <v>12</v>
      </c>
      <c r="D310" s="29">
        <v>0</v>
      </c>
      <c r="E310" s="27" t="s">
        <v>427</v>
      </c>
      <c r="F310" s="27" t="s">
        <v>422</v>
      </c>
      <c r="G310" s="29">
        <v>0</v>
      </c>
    </row>
    <row r="311" spans="2:7" x14ac:dyDescent="0.25">
      <c r="B311" s="27" t="s">
        <v>50</v>
      </c>
      <c r="C311" s="27" t="s">
        <v>12</v>
      </c>
      <c r="D311" s="29">
        <v>0</v>
      </c>
      <c r="E311" s="27" t="s">
        <v>428</v>
      </c>
      <c r="F311" s="27" t="s">
        <v>422</v>
      </c>
      <c r="G311" s="29">
        <v>0</v>
      </c>
    </row>
    <row r="312" spans="2:7" x14ac:dyDescent="0.25">
      <c r="B312" s="27" t="s">
        <v>51</v>
      </c>
      <c r="C312" s="27" t="s">
        <v>12</v>
      </c>
      <c r="D312" s="29">
        <v>0</v>
      </c>
      <c r="E312" s="27" t="s">
        <v>429</v>
      </c>
      <c r="F312" s="27" t="s">
        <v>422</v>
      </c>
      <c r="G312" s="29">
        <v>0</v>
      </c>
    </row>
    <row r="313" spans="2:7" x14ac:dyDescent="0.25">
      <c r="B313" s="27" t="s">
        <v>52</v>
      </c>
      <c r="C313" s="27" t="s">
        <v>12</v>
      </c>
      <c r="D313" s="29">
        <v>0</v>
      </c>
      <c r="E313" s="27" t="s">
        <v>430</v>
      </c>
      <c r="F313" s="27" t="s">
        <v>422</v>
      </c>
      <c r="G313" s="29">
        <v>0</v>
      </c>
    </row>
    <row r="314" spans="2:7" x14ac:dyDescent="0.25">
      <c r="B314" s="27" t="s">
        <v>53</v>
      </c>
      <c r="C314" s="27" t="s">
        <v>12</v>
      </c>
      <c r="D314" s="29">
        <v>1</v>
      </c>
      <c r="E314" s="27" t="s">
        <v>431</v>
      </c>
      <c r="F314" s="27" t="s">
        <v>140</v>
      </c>
      <c r="G314" s="29">
        <v>1</v>
      </c>
    </row>
    <row r="315" spans="2:7" x14ac:dyDescent="0.25">
      <c r="B315" s="27" t="s">
        <v>54</v>
      </c>
      <c r="C315" s="27" t="s">
        <v>12</v>
      </c>
      <c r="D315" s="29">
        <v>0</v>
      </c>
      <c r="E315" s="27" t="s">
        <v>432</v>
      </c>
      <c r="F315" s="27" t="s">
        <v>422</v>
      </c>
      <c r="G315" s="29">
        <v>0</v>
      </c>
    </row>
    <row r="316" spans="2:7" x14ac:dyDescent="0.25">
      <c r="B316" s="27" t="s">
        <v>55</v>
      </c>
      <c r="C316" s="27" t="s">
        <v>12</v>
      </c>
      <c r="D316" s="29">
        <v>1</v>
      </c>
      <c r="E316" s="27" t="s">
        <v>433</v>
      </c>
      <c r="F316" s="27" t="s">
        <v>140</v>
      </c>
      <c r="G316" s="29">
        <v>1</v>
      </c>
    </row>
    <row r="317" spans="2:7" x14ac:dyDescent="0.25">
      <c r="B317" s="27" t="s">
        <v>56</v>
      </c>
      <c r="C317" s="27" t="s">
        <v>12</v>
      </c>
      <c r="D317" s="29">
        <v>0</v>
      </c>
      <c r="E317" s="27" t="s">
        <v>434</v>
      </c>
      <c r="F317" s="27" t="s">
        <v>422</v>
      </c>
      <c r="G317" s="29">
        <v>0</v>
      </c>
    </row>
    <row r="318" spans="2:7" x14ac:dyDescent="0.25">
      <c r="B318" s="27" t="s">
        <v>57</v>
      </c>
      <c r="C318" s="27"/>
      <c r="D318" s="29">
        <v>1</v>
      </c>
      <c r="E318" s="27" t="s">
        <v>435</v>
      </c>
      <c r="F318" s="27" t="s">
        <v>140</v>
      </c>
      <c r="G318" s="29">
        <v>1</v>
      </c>
    </row>
    <row r="319" spans="2:7" x14ac:dyDescent="0.25">
      <c r="B319" s="27" t="s">
        <v>58</v>
      </c>
      <c r="C319" s="27" t="s">
        <v>12</v>
      </c>
      <c r="D319" s="29">
        <v>0</v>
      </c>
      <c r="E319" s="27" t="s">
        <v>436</v>
      </c>
      <c r="F319" s="27" t="s">
        <v>422</v>
      </c>
      <c r="G319" s="29">
        <v>0</v>
      </c>
    </row>
    <row r="320" spans="2:7" x14ac:dyDescent="0.25">
      <c r="B320" s="27" t="s">
        <v>59</v>
      </c>
      <c r="C320" s="27" t="s">
        <v>12</v>
      </c>
      <c r="D320" s="29">
        <v>0</v>
      </c>
      <c r="E320" s="27" t="s">
        <v>437</v>
      </c>
      <c r="F320" s="27" t="s">
        <v>422</v>
      </c>
      <c r="G320" s="29">
        <v>0</v>
      </c>
    </row>
    <row r="321" spans="2:7" x14ac:dyDescent="0.25">
      <c r="B321" s="27" t="s">
        <v>60</v>
      </c>
      <c r="C321" s="27" t="s">
        <v>12</v>
      </c>
      <c r="D321" s="29">
        <v>0</v>
      </c>
      <c r="E321" s="27" t="s">
        <v>438</v>
      </c>
      <c r="F321" s="27" t="s">
        <v>422</v>
      </c>
      <c r="G321" s="29">
        <v>0</v>
      </c>
    </row>
    <row r="322" spans="2:7" x14ac:dyDescent="0.25">
      <c r="B322" s="27" t="s">
        <v>61</v>
      </c>
      <c r="C322" s="27" t="s">
        <v>12</v>
      </c>
      <c r="D322" s="29">
        <v>0</v>
      </c>
      <c r="E322" s="27" t="s">
        <v>439</v>
      </c>
      <c r="F322" s="27" t="s">
        <v>422</v>
      </c>
      <c r="G322" s="29">
        <v>0</v>
      </c>
    </row>
    <row r="323" spans="2:7" x14ac:dyDescent="0.25">
      <c r="B323" s="27" t="s">
        <v>62</v>
      </c>
      <c r="C323" s="27" t="s">
        <v>12</v>
      </c>
      <c r="D323" s="29">
        <v>0</v>
      </c>
      <c r="E323" s="27" t="s">
        <v>440</v>
      </c>
      <c r="F323" s="27" t="s">
        <v>422</v>
      </c>
      <c r="G323" s="29">
        <v>0</v>
      </c>
    </row>
    <row r="324" spans="2:7" x14ac:dyDescent="0.25">
      <c r="B324" s="27" t="s">
        <v>63</v>
      </c>
      <c r="C324" s="27" t="s">
        <v>12</v>
      </c>
      <c r="D324" s="29">
        <v>0</v>
      </c>
      <c r="E324" s="27" t="s">
        <v>441</v>
      </c>
      <c r="F324" s="27" t="s">
        <v>422</v>
      </c>
      <c r="G324" s="29">
        <v>0</v>
      </c>
    </row>
    <row r="325" spans="2:7" x14ac:dyDescent="0.25">
      <c r="B325" s="27" t="s">
        <v>64</v>
      </c>
      <c r="C325" s="27" t="s">
        <v>12</v>
      </c>
      <c r="D325" s="29">
        <v>1</v>
      </c>
      <c r="E325" s="27" t="s">
        <v>442</v>
      </c>
      <c r="F325" s="27" t="s">
        <v>140</v>
      </c>
      <c r="G325" s="29">
        <v>1</v>
      </c>
    </row>
    <row r="326" spans="2:7" x14ac:dyDescent="0.25">
      <c r="B326" s="27" t="s">
        <v>65</v>
      </c>
      <c r="C326" s="27" t="s">
        <v>12</v>
      </c>
      <c r="D326" s="29">
        <v>0</v>
      </c>
      <c r="E326" s="27" t="s">
        <v>443</v>
      </c>
      <c r="F326" s="27" t="s">
        <v>422</v>
      </c>
      <c r="G326" s="29">
        <v>0</v>
      </c>
    </row>
    <row r="327" spans="2:7" x14ac:dyDescent="0.25">
      <c r="B327" s="27" t="s">
        <v>66</v>
      </c>
      <c r="C327" s="27" t="s">
        <v>67</v>
      </c>
      <c r="D327" s="29">
        <v>0</v>
      </c>
      <c r="E327" s="27" t="s">
        <v>444</v>
      </c>
      <c r="F327" s="27" t="s">
        <v>422</v>
      </c>
      <c r="G327" s="29">
        <v>0</v>
      </c>
    </row>
    <row r="328" spans="2:7" x14ac:dyDescent="0.25">
      <c r="B328" s="27" t="s">
        <v>68</v>
      </c>
      <c r="C328" s="27" t="s">
        <v>12</v>
      </c>
      <c r="D328" s="29">
        <v>1</v>
      </c>
      <c r="E328" s="27" t="s">
        <v>445</v>
      </c>
      <c r="F328" s="27" t="s">
        <v>140</v>
      </c>
      <c r="G328" s="29">
        <v>1</v>
      </c>
    </row>
    <row r="329" spans="2:7" x14ac:dyDescent="0.25">
      <c r="B329" s="27" t="s">
        <v>69</v>
      </c>
      <c r="C329" s="27" t="s">
        <v>12</v>
      </c>
      <c r="D329" s="29">
        <v>0</v>
      </c>
      <c r="E329" s="27" t="s">
        <v>446</v>
      </c>
      <c r="F329" s="27" t="s">
        <v>422</v>
      </c>
      <c r="G329" s="29">
        <v>0</v>
      </c>
    </row>
    <row r="330" spans="2:7" x14ac:dyDescent="0.25">
      <c r="B330" s="27" t="s">
        <v>70</v>
      </c>
      <c r="C330" s="27" t="s">
        <v>12</v>
      </c>
      <c r="D330" s="29">
        <v>0</v>
      </c>
      <c r="E330" s="27" t="s">
        <v>447</v>
      </c>
      <c r="F330" s="27" t="s">
        <v>422</v>
      </c>
      <c r="G330" s="29">
        <v>0</v>
      </c>
    </row>
    <row r="331" spans="2:7" x14ac:dyDescent="0.25">
      <c r="B331" s="27" t="s">
        <v>71</v>
      </c>
      <c r="C331" s="27" t="s">
        <v>12</v>
      </c>
      <c r="D331" s="29">
        <v>0</v>
      </c>
      <c r="E331" s="27" t="s">
        <v>448</v>
      </c>
      <c r="F331" s="27" t="s">
        <v>422</v>
      </c>
      <c r="G331" s="29">
        <v>0</v>
      </c>
    </row>
    <row r="332" spans="2:7" x14ac:dyDescent="0.25">
      <c r="B332" s="27" t="s">
        <v>72</v>
      </c>
      <c r="C332" s="27" t="s">
        <v>12</v>
      </c>
      <c r="D332" s="29">
        <v>1</v>
      </c>
      <c r="E332" s="27" t="s">
        <v>449</v>
      </c>
      <c r="F332" s="27" t="s">
        <v>140</v>
      </c>
      <c r="G332" s="29">
        <v>1</v>
      </c>
    </row>
    <row r="333" spans="2:7" x14ac:dyDescent="0.25">
      <c r="B333" s="27" t="s">
        <v>73</v>
      </c>
      <c r="C333" s="27" t="s">
        <v>12</v>
      </c>
      <c r="D333" s="29">
        <v>0</v>
      </c>
      <c r="E333" s="27" t="s">
        <v>450</v>
      </c>
      <c r="F333" s="27" t="s">
        <v>422</v>
      </c>
      <c r="G333" s="29">
        <v>0</v>
      </c>
    </row>
    <row r="334" spans="2:7" x14ac:dyDescent="0.25">
      <c r="B334" s="27" t="s">
        <v>74</v>
      </c>
      <c r="C334" s="27" t="s">
        <v>12</v>
      </c>
      <c r="D334" s="29">
        <v>1</v>
      </c>
      <c r="E334" s="27" t="s">
        <v>451</v>
      </c>
      <c r="F334" s="27" t="s">
        <v>140</v>
      </c>
      <c r="G334" s="29">
        <v>1</v>
      </c>
    </row>
    <row r="335" spans="2:7" x14ac:dyDescent="0.25">
      <c r="B335" s="27" t="s">
        <v>75</v>
      </c>
      <c r="C335" s="27" t="s">
        <v>12</v>
      </c>
      <c r="D335" s="29">
        <v>0</v>
      </c>
      <c r="E335" s="27" t="s">
        <v>452</v>
      </c>
      <c r="F335" s="27" t="s">
        <v>422</v>
      </c>
      <c r="G335" s="29">
        <v>0</v>
      </c>
    </row>
    <row r="336" spans="2:7" x14ac:dyDescent="0.25">
      <c r="B336" s="27" t="s">
        <v>76</v>
      </c>
      <c r="C336" s="27" t="s">
        <v>77</v>
      </c>
      <c r="D336" s="29">
        <v>1</v>
      </c>
      <c r="E336" s="27" t="s">
        <v>453</v>
      </c>
      <c r="F336" s="27" t="s">
        <v>140</v>
      </c>
      <c r="G336" s="29">
        <v>1</v>
      </c>
    </row>
    <row r="337" spans="2:7" x14ac:dyDescent="0.25">
      <c r="B337" s="27" t="s">
        <v>78</v>
      </c>
      <c r="C337" s="27" t="s">
        <v>12</v>
      </c>
      <c r="D337" s="29">
        <v>1</v>
      </c>
      <c r="E337" s="27" t="s">
        <v>454</v>
      </c>
      <c r="F337" s="27" t="s">
        <v>140</v>
      </c>
      <c r="G337" s="29">
        <v>1</v>
      </c>
    </row>
    <row r="338" spans="2:7" x14ac:dyDescent="0.25">
      <c r="B338" s="27" t="s">
        <v>79</v>
      </c>
      <c r="C338" s="27" t="s">
        <v>12</v>
      </c>
      <c r="D338" s="29">
        <v>1</v>
      </c>
      <c r="E338" s="27" t="s">
        <v>455</v>
      </c>
      <c r="F338" s="27" t="s">
        <v>140</v>
      </c>
      <c r="G338" s="29">
        <v>1</v>
      </c>
    </row>
    <row r="339" spans="2:7" x14ac:dyDescent="0.25">
      <c r="B339" s="27" t="s">
        <v>80</v>
      </c>
      <c r="C339" s="27" t="s">
        <v>12</v>
      </c>
      <c r="D339" s="29">
        <v>0</v>
      </c>
      <c r="E339" s="27" t="s">
        <v>456</v>
      </c>
      <c r="F339" s="27" t="s">
        <v>422</v>
      </c>
      <c r="G339" s="29">
        <v>0</v>
      </c>
    </row>
    <row r="340" spans="2:7" x14ac:dyDescent="0.25">
      <c r="B340" s="27" t="s">
        <v>81</v>
      </c>
      <c r="C340" s="27" t="s">
        <v>12</v>
      </c>
      <c r="D340" s="29">
        <v>0</v>
      </c>
      <c r="E340" s="27" t="s">
        <v>457</v>
      </c>
      <c r="F340" s="27" t="s">
        <v>422</v>
      </c>
      <c r="G340" s="29">
        <v>0</v>
      </c>
    </row>
    <row r="341" spans="2:7" x14ac:dyDescent="0.25">
      <c r="B341" s="27" t="s">
        <v>82</v>
      </c>
      <c r="C341" s="27" t="s">
        <v>12</v>
      </c>
      <c r="D341" s="29">
        <v>0</v>
      </c>
      <c r="E341" s="27" t="s">
        <v>458</v>
      </c>
      <c r="F341" s="27" t="s">
        <v>422</v>
      </c>
      <c r="G341" s="29">
        <v>0</v>
      </c>
    </row>
    <row r="342" spans="2:7" x14ac:dyDescent="0.25">
      <c r="B342" s="27" t="s">
        <v>83</v>
      </c>
      <c r="C342" s="27" t="s">
        <v>12</v>
      </c>
      <c r="D342" s="29">
        <v>0</v>
      </c>
      <c r="E342" s="27" t="s">
        <v>459</v>
      </c>
      <c r="F342" s="27" t="s">
        <v>422</v>
      </c>
      <c r="G342" s="29">
        <v>0</v>
      </c>
    </row>
    <row r="343" spans="2:7" x14ac:dyDescent="0.25">
      <c r="B343" s="27" t="s">
        <v>84</v>
      </c>
      <c r="C343" s="27" t="s">
        <v>12</v>
      </c>
      <c r="D343" s="29">
        <v>0</v>
      </c>
      <c r="E343" s="27" t="s">
        <v>460</v>
      </c>
      <c r="F343" s="27" t="s">
        <v>422</v>
      </c>
      <c r="G343" s="29">
        <v>0</v>
      </c>
    </row>
    <row r="344" spans="2:7" x14ac:dyDescent="0.25">
      <c r="B344" s="27" t="s">
        <v>85</v>
      </c>
      <c r="C344" s="27" t="s">
        <v>12</v>
      </c>
      <c r="D344" s="29">
        <v>1</v>
      </c>
      <c r="E344" s="27" t="s">
        <v>461</v>
      </c>
      <c r="F344" s="27" t="s">
        <v>140</v>
      </c>
      <c r="G344" s="29">
        <v>1</v>
      </c>
    </row>
    <row r="345" spans="2:7" x14ac:dyDescent="0.25">
      <c r="B345" s="27" t="s">
        <v>86</v>
      </c>
      <c r="C345" s="27" t="s">
        <v>12</v>
      </c>
      <c r="D345" s="29">
        <v>0</v>
      </c>
      <c r="E345" s="27" t="s">
        <v>462</v>
      </c>
      <c r="F345" s="27" t="s">
        <v>422</v>
      </c>
      <c r="G345" s="29">
        <v>0</v>
      </c>
    </row>
    <row r="346" spans="2:7" x14ac:dyDescent="0.25">
      <c r="B346" s="27" t="s">
        <v>87</v>
      </c>
      <c r="C346" s="27" t="s">
        <v>12</v>
      </c>
      <c r="D346" s="29">
        <v>1</v>
      </c>
      <c r="E346" s="27" t="s">
        <v>463</v>
      </c>
      <c r="F346" s="27" t="s">
        <v>140</v>
      </c>
      <c r="G346" s="29">
        <v>1</v>
      </c>
    </row>
    <row r="347" spans="2:7" x14ac:dyDescent="0.25">
      <c r="B347" s="27" t="s">
        <v>88</v>
      </c>
      <c r="C347" s="27" t="s">
        <v>12</v>
      </c>
      <c r="D347" s="29">
        <v>0</v>
      </c>
      <c r="E347" s="27" t="s">
        <v>464</v>
      </c>
      <c r="F347" s="27" t="s">
        <v>422</v>
      </c>
      <c r="G347" s="29">
        <v>0</v>
      </c>
    </row>
    <row r="348" spans="2:7" x14ac:dyDescent="0.25">
      <c r="B348" s="27" t="s">
        <v>89</v>
      </c>
      <c r="C348" s="27" t="s">
        <v>12</v>
      </c>
      <c r="D348" s="29">
        <v>1</v>
      </c>
      <c r="E348" s="27" t="s">
        <v>465</v>
      </c>
      <c r="F348" s="27" t="s">
        <v>140</v>
      </c>
      <c r="G348" s="29">
        <v>1</v>
      </c>
    </row>
    <row r="349" spans="2:7" x14ac:dyDescent="0.25">
      <c r="B349" s="27" t="s">
        <v>90</v>
      </c>
      <c r="C349" s="27" t="s">
        <v>12</v>
      </c>
      <c r="D349" s="29">
        <v>0</v>
      </c>
      <c r="E349" s="27" t="s">
        <v>466</v>
      </c>
      <c r="F349" s="27" t="s">
        <v>422</v>
      </c>
      <c r="G349" s="29">
        <v>0</v>
      </c>
    </row>
    <row r="350" spans="2:7" x14ac:dyDescent="0.25">
      <c r="B350" s="27" t="s">
        <v>91</v>
      </c>
      <c r="C350" s="27" t="s">
        <v>12</v>
      </c>
      <c r="D350" s="29">
        <v>1</v>
      </c>
      <c r="E350" s="27" t="s">
        <v>467</v>
      </c>
      <c r="F350" s="27" t="s">
        <v>140</v>
      </c>
      <c r="G350" s="29">
        <v>1</v>
      </c>
    </row>
    <row r="351" spans="2:7" x14ac:dyDescent="0.25">
      <c r="B351" s="27" t="s">
        <v>92</v>
      </c>
      <c r="C351" s="27" t="s">
        <v>12</v>
      </c>
      <c r="D351" s="29">
        <v>0</v>
      </c>
      <c r="E351" s="27" t="s">
        <v>468</v>
      </c>
      <c r="F351" s="27" t="s">
        <v>422</v>
      </c>
      <c r="G351" s="29">
        <v>0</v>
      </c>
    </row>
    <row r="352" spans="2:7" x14ac:dyDescent="0.25">
      <c r="B352" s="27" t="s">
        <v>93</v>
      </c>
      <c r="C352" s="27" t="s">
        <v>12</v>
      </c>
      <c r="D352" s="29">
        <v>0</v>
      </c>
      <c r="E352" s="27" t="s">
        <v>469</v>
      </c>
      <c r="F352" s="27" t="s">
        <v>422</v>
      </c>
      <c r="G352" s="29">
        <v>0</v>
      </c>
    </row>
    <row r="353" spans="2:7" x14ac:dyDescent="0.25">
      <c r="B353" s="27" t="s">
        <v>94</v>
      </c>
      <c r="C353" s="27" t="s">
        <v>12</v>
      </c>
      <c r="D353" s="29">
        <v>1</v>
      </c>
      <c r="E353" s="27" t="s">
        <v>470</v>
      </c>
      <c r="F353" s="27" t="s">
        <v>140</v>
      </c>
      <c r="G353" s="29">
        <v>1</v>
      </c>
    </row>
    <row r="354" spans="2:7" x14ac:dyDescent="0.25">
      <c r="B354" s="27" t="s">
        <v>95</v>
      </c>
      <c r="C354" s="27" t="s">
        <v>12</v>
      </c>
      <c r="D354" s="29">
        <v>2</v>
      </c>
      <c r="E354" s="27" t="s">
        <v>471</v>
      </c>
      <c r="F354" s="27" t="s">
        <v>140</v>
      </c>
      <c r="G354" s="29">
        <v>2</v>
      </c>
    </row>
    <row r="355" spans="2:7" x14ac:dyDescent="0.25">
      <c r="B355" s="27" t="s">
        <v>96</v>
      </c>
      <c r="C355" s="27" t="s">
        <v>12</v>
      </c>
      <c r="D355" s="29">
        <v>0</v>
      </c>
      <c r="E355" s="27" t="s">
        <v>472</v>
      </c>
      <c r="F355" s="27" t="s">
        <v>422</v>
      </c>
      <c r="G355" s="29">
        <v>0</v>
      </c>
    </row>
    <row r="356" spans="2:7" x14ac:dyDescent="0.25">
      <c r="B356" s="27" t="s">
        <v>97</v>
      </c>
      <c r="C356" s="27" t="s">
        <v>12</v>
      </c>
      <c r="D356" s="29">
        <v>1</v>
      </c>
      <c r="E356" s="27" t="s">
        <v>473</v>
      </c>
      <c r="F356" s="27" t="s">
        <v>140</v>
      </c>
      <c r="G356" s="29">
        <v>1</v>
      </c>
    </row>
    <row r="357" spans="2:7" x14ac:dyDescent="0.25">
      <c r="B357" s="27" t="s">
        <v>98</v>
      </c>
      <c r="C357" s="27" t="s">
        <v>12</v>
      </c>
      <c r="D357" s="29">
        <v>0</v>
      </c>
      <c r="E357" s="27" t="s">
        <v>474</v>
      </c>
      <c r="F357" s="27" t="s">
        <v>422</v>
      </c>
      <c r="G357" s="29">
        <v>0</v>
      </c>
    </row>
    <row r="358" spans="2:7" x14ac:dyDescent="0.25">
      <c r="B358" s="27" t="s">
        <v>99</v>
      </c>
      <c r="C358" s="27" t="s">
        <v>12</v>
      </c>
      <c r="D358" s="29">
        <v>0</v>
      </c>
      <c r="E358" s="27" t="s">
        <v>475</v>
      </c>
      <c r="F358" s="27" t="s">
        <v>422</v>
      </c>
      <c r="G358" s="29">
        <v>0</v>
      </c>
    </row>
    <row r="359" spans="2:7" x14ac:dyDescent="0.25">
      <c r="B359" s="27" t="s">
        <v>100</v>
      </c>
      <c r="C359" s="27" t="s">
        <v>12</v>
      </c>
      <c r="D359" s="29">
        <v>0</v>
      </c>
      <c r="E359" s="27" t="s">
        <v>476</v>
      </c>
      <c r="F359" s="27" t="s">
        <v>422</v>
      </c>
      <c r="G359" s="29">
        <v>0</v>
      </c>
    </row>
    <row r="360" spans="2:7" x14ac:dyDescent="0.25">
      <c r="B360" s="27" t="s">
        <v>101</v>
      </c>
      <c r="C360" s="27" t="s">
        <v>12</v>
      </c>
      <c r="D360" s="29">
        <v>1</v>
      </c>
      <c r="E360" s="27" t="s">
        <v>477</v>
      </c>
      <c r="F360" s="27" t="s">
        <v>140</v>
      </c>
      <c r="G360" s="29">
        <v>1</v>
      </c>
    </row>
    <row r="361" spans="2:7" x14ac:dyDescent="0.25">
      <c r="B361" s="27" t="s">
        <v>102</v>
      </c>
      <c r="C361" s="27" t="s">
        <v>12</v>
      </c>
      <c r="D361" s="29">
        <v>0</v>
      </c>
      <c r="E361" s="27" t="s">
        <v>478</v>
      </c>
      <c r="F361" s="27" t="s">
        <v>422</v>
      </c>
      <c r="G361" s="29">
        <v>0</v>
      </c>
    </row>
    <row r="362" spans="2:7" x14ac:dyDescent="0.25">
      <c r="B362" s="27" t="s">
        <v>103</v>
      </c>
      <c r="C362" s="27" t="s">
        <v>12</v>
      </c>
      <c r="D362" s="29">
        <v>2</v>
      </c>
      <c r="E362" s="27" t="s">
        <v>479</v>
      </c>
      <c r="F362" s="27" t="s">
        <v>140</v>
      </c>
      <c r="G362" s="29">
        <v>2</v>
      </c>
    </row>
    <row r="363" spans="2:7" x14ac:dyDescent="0.25">
      <c r="B363" s="27" t="s">
        <v>104</v>
      </c>
      <c r="C363" s="27" t="s">
        <v>12</v>
      </c>
      <c r="D363" s="29">
        <v>0</v>
      </c>
      <c r="E363" s="27" t="s">
        <v>480</v>
      </c>
      <c r="F363" s="27" t="s">
        <v>422</v>
      </c>
      <c r="G363" s="29">
        <v>0</v>
      </c>
    </row>
    <row r="364" spans="2:7" x14ac:dyDescent="0.25">
      <c r="B364" s="27" t="s">
        <v>105</v>
      </c>
      <c r="C364" s="27" t="s">
        <v>12</v>
      </c>
      <c r="D364" s="29">
        <v>0</v>
      </c>
      <c r="E364" s="27" t="s">
        <v>481</v>
      </c>
      <c r="F364" s="27" t="s">
        <v>422</v>
      </c>
      <c r="G364" s="29">
        <v>0</v>
      </c>
    </row>
    <row r="365" spans="2:7" x14ac:dyDescent="0.25">
      <c r="B365" s="27" t="s">
        <v>106</v>
      </c>
      <c r="C365" s="27" t="s">
        <v>12</v>
      </c>
      <c r="D365" s="29">
        <v>0</v>
      </c>
      <c r="E365" s="27" t="s">
        <v>482</v>
      </c>
      <c r="F365" s="27" t="s">
        <v>422</v>
      </c>
      <c r="G365" s="29">
        <v>0</v>
      </c>
    </row>
    <row r="366" spans="2:7" x14ac:dyDescent="0.25">
      <c r="B366" s="27" t="s">
        <v>107</v>
      </c>
      <c r="C366" s="27" t="s">
        <v>12</v>
      </c>
      <c r="D366" s="29">
        <v>1</v>
      </c>
      <c r="E366" s="27" t="s">
        <v>483</v>
      </c>
      <c r="F366" s="27" t="s">
        <v>140</v>
      </c>
      <c r="G366" s="29">
        <v>1</v>
      </c>
    </row>
    <row r="367" spans="2:7" x14ac:dyDescent="0.25">
      <c r="B367" s="27" t="s">
        <v>108</v>
      </c>
      <c r="C367" s="27" t="s">
        <v>12</v>
      </c>
      <c r="D367" s="29">
        <v>1</v>
      </c>
      <c r="E367" s="27" t="s">
        <v>484</v>
      </c>
      <c r="F367" s="27" t="s">
        <v>140</v>
      </c>
      <c r="G367" s="29">
        <v>1</v>
      </c>
    </row>
    <row r="368" spans="2:7" x14ac:dyDescent="0.25">
      <c r="B368" s="27" t="s">
        <v>109</v>
      </c>
      <c r="C368" s="27" t="s">
        <v>12</v>
      </c>
      <c r="D368" s="29">
        <v>0</v>
      </c>
      <c r="E368" s="27" t="s">
        <v>485</v>
      </c>
      <c r="F368" s="27" t="s">
        <v>422</v>
      </c>
      <c r="G368" s="29">
        <v>0</v>
      </c>
    </row>
    <row r="369" spans="2:7" x14ac:dyDescent="0.25">
      <c r="B369" s="27" t="s">
        <v>110</v>
      </c>
      <c r="C369" s="27" t="s">
        <v>12</v>
      </c>
      <c r="D369" s="29">
        <v>0</v>
      </c>
      <c r="E369" s="27" t="s">
        <v>486</v>
      </c>
      <c r="F369" s="27" t="s">
        <v>422</v>
      </c>
      <c r="G369" s="29">
        <v>0</v>
      </c>
    </row>
    <row r="370" spans="2:7" x14ac:dyDescent="0.25">
      <c r="B370" s="27" t="s">
        <v>111</v>
      </c>
      <c r="C370" s="27" t="s">
        <v>12</v>
      </c>
      <c r="D370" s="29">
        <v>0</v>
      </c>
      <c r="E370" s="27" t="s">
        <v>487</v>
      </c>
      <c r="F370" s="27" t="s">
        <v>422</v>
      </c>
      <c r="G370" s="29">
        <v>0</v>
      </c>
    </row>
    <row r="371" spans="2:7" x14ac:dyDescent="0.25">
      <c r="B371" s="27" t="s">
        <v>112</v>
      </c>
      <c r="C371" s="27" t="s">
        <v>12</v>
      </c>
      <c r="D371" s="29">
        <v>1</v>
      </c>
      <c r="E371" s="27" t="s">
        <v>488</v>
      </c>
      <c r="F371" s="27" t="s">
        <v>140</v>
      </c>
      <c r="G371" s="29">
        <v>1</v>
      </c>
    </row>
    <row r="372" spans="2:7" x14ac:dyDescent="0.25">
      <c r="B372" s="27" t="s">
        <v>113</v>
      </c>
      <c r="C372" s="27" t="s">
        <v>12</v>
      </c>
      <c r="D372" s="29">
        <v>1</v>
      </c>
      <c r="E372" s="27" t="s">
        <v>489</v>
      </c>
      <c r="F372" s="27" t="s">
        <v>140</v>
      </c>
      <c r="G372" s="29">
        <v>1</v>
      </c>
    </row>
    <row r="373" spans="2:7" x14ac:dyDescent="0.25">
      <c r="B373" s="27" t="s">
        <v>114</v>
      </c>
      <c r="C373" s="27" t="s">
        <v>12</v>
      </c>
      <c r="D373" s="29">
        <v>0</v>
      </c>
      <c r="E373" s="27" t="s">
        <v>490</v>
      </c>
      <c r="F373" s="27" t="s">
        <v>422</v>
      </c>
      <c r="G373" s="29">
        <v>0</v>
      </c>
    </row>
    <row r="374" spans="2:7" x14ac:dyDescent="0.25">
      <c r="B374" s="27" t="s">
        <v>115</v>
      </c>
      <c r="C374" s="27" t="s">
        <v>12</v>
      </c>
      <c r="D374" s="29">
        <v>0</v>
      </c>
      <c r="E374" s="27" t="s">
        <v>491</v>
      </c>
      <c r="F374" s="27" t="s">
        <v>422</v>
      </c>
      <c r="G374" s="29">
        <v>0</v>
      </c>
    </row>
    <row r="375" spans="2:7" x14ac:dyDescent="0.25">
      <c r="B375" s="27" t="s">
        <v>116</v>
      </c>
      <c r="C375" s="27" t="s">
        <v>12</v>
      </c>
      <c r="D375" s="29">
        <v>1</v>
      </c>
      <c r="E375" s="27" t="s">
        <v>492</v>
      </c>
      <c r="F375" s="27" t="s">
        <v>140</v>
      </c>
      <c r="G375" s="29">
        <v>1</v>
      </c>
    </row>
    <row r="376" spans="2:7" x14ac:dyDescent="0.25">
      <c r="B376" s="27" t="s">
        <v>117</v>
      </c>
      <c r="C376" s="27" t="s">
        <v>12</v>
      </c>
      <c r="D376" s="29">
        <v>0</v>
      </c>
      <c r="E376" s="27" t="s">
        <v>493</v>
      </c>
      <c r="F376" s="27" t="s">
        <v>422</v>
      </c>
      <c r="G376" s="29">
        <v>0</v>
      </c>
    </row>
    <row r="377" spans="2:7" x14ac:dyDescent="0.25">
      <c r="B377" s="27" t="s">
        <v>118</v>
      </c>
      <c r="C377" s="27" t="s">
        <v>12</v>
      </c>
      <c r="D377" s="29">
        <v>0</v>
      </c>
      <c r="E377" s="27" t="s">
        <v>494</v>
      </c>
      <c r="F377" s="27" t="s">
        <v>422</v>
      </c>
      <c r="G377" s="29">
        <v>0</v>
      </c>
    </row>
    <row r="378" spans="2:7" x14ac:dyDescent="0.25">
      <c r="B378" s="27" t="s">
        <v>119</v>
      </c>
      <c r="C378" s="27" t="s">
        <v>12</v>
      </c>
      <c r="D378" s="29">
        <v>1</v>
      </c>
      <c r="E378" s="27" t="s">
        <v>495</v>
      </c>
      <c r="F378" s="27" t="s">
        <v>140</v>
      </c>
      <c r="G378" s="29">
        <v>1</v>
      </c>
    </row>
    <row r="379" spans="2:7" x14ac:dyDescent="0.25">
      <c r="B379" s="27" t="s">
        <v>120</v>
      </c>
      <c r="C379" s="27" t="s">
        <v>12</v>
      </c>
      <c r="D379" s="29">
        <v>1</v>
      </c>
      <c r="E379" s="27" t="s">
        <v>496</v>
      </c>
      <c r="F379" s="27" t="s">
        <v>140</v>
      </c>
      <c r="G379" s="29">
        <v>1</v>
      </c>
    </row>
    <row r="380" spans="2:7" x14ac:dyDescent="0.25">
      <c r="B380" s="27" t="s">
        <v>121</v>
      </c>
      <c r="C380" s="27" t="s">
        <v>12</v>
      </c>
      <c r="D380" s="29">
        <v>0</v>
      </c>
      <c r="E380" s="27" t="s">
        <v>497</v>
      </c>
      <c r="F380" s="27" t="s">
        <v>422</v>
      </c>
      <c r="G380" s="29">
        <v>0</v>
      </c>
    </row>
    <row r="381" spans="2:7" x14ac:dyDescent="0.25">
      <c r="B381" s="27" t="s">
        <v>122</v>
      </c>
      <c r="C381" s="27" t="s">
        <v>12</v>
      </c>
      <c r="D381" s="29">
        <v>0</v>
      </c>
      <c r="E381" s="27" t="s">
        <v>498</v>
      </c>
      <c r="F381" s="27" t="s">
        <v>422</v>
      </c>
      <c r="G381" s="29">
        <v>0</v>
      </c>
    </row>
    <row r="382" spans="2:7" x14ac:dyDescent="0.25">
      <c r="B382" s="27" t="s">
        <v>123</v>
      </c>
      <c r="C382" s="27" t="s">
        <v>12</v>
      </c>
      <c r="D382" s="29">
        <v>1</v>
      </c>
      <c r="E382" s="27" t="s">
        <v>499</v>
      </c>
      <c r="F382" s="27" t="s">
        <v>140</v>
      </c>
      <c r="G382" s="29">
        <v>1</v>
      </c>
    </row>
    <row r="383" spans="2:7" x14ac:dyDescent="0.25">
      <c r="B383" s="27" t="s">
        <v>124</v>
      </c>
      <c r="C383" s="27" t="s">
        <v>12</v>
      </c>
      <c r="D383" s="29">
        <v>0</v>
      </c>
      <c r="E383" s="27" t="s">
        <v>500</v>
      </c>
      <c r="F383" s="27" t="s">
        <v>422</v>
      </c>
      <c r="G383" s="29">
        <v>0</v>
      </c>
    </row>
    <row r="384" spans="2:7" x14ac:dyDescent="0.25">
      <c r="B384" s="27" t="s">
        <v>125</v>
      </c>
      <c r="C384" s="27" t="s">
        <v>12</v>
      </c>
      <c r="D384" s="29">
        <v>1</v>
      </c>
      <c r="E384" s="27" t="s">
        <v>501</v>
      </c>
      <c r="F384" s="27" t="s">
        <v>140</v>
      </c>
      <c r="G384" s="29">
        <v>1</v>
      </c>
    </row>
    <row r="385" spans="2:7" x14ac:dyDescent="0.25">
      <c r="B385" s="27" t="s">
        <v>126</v>
      </c>
      <c r="C385" s="27" t="s">
        <v>12</v>
      </c>
      <c r="D385" s="29">
        <v>0</v>
      </c>
      <c r="E385" s="27" t="s">
        <v>502</v>
      </c>
      <c r="F385" s="27" t="s">
        <v>422</v>
      </c>
      <c r="G385" s="29">
        <v>0</v>
      </c>
    </row>
    <row r="386" spans="2:7" x14ac:dyDescent="0.25">
      <c r="B386" s="27" t="s">
        <v>127</v>
      </c>
      <c r="C386" s="27" t="s">
        <v>12</v>
      </c>
      <c r="D386" s="29">
        <v>0</v>
      </c>
      <c r="E386" s="27" t="s">
        <v>503</v>
      </c>
      <c r="F386" s="27" t="s">
        <v>422</v>
      </c>
      <c r="G386" s="29">
        <v>0</v>
      </c>
    </row>
    <row r="387" spans="2:7" x14ac:dyDescent="0.25">
      <c r="B387" s="27" t="s">
        <v>128</v>
      </c>
      <c r="C387" s="27" t="s">
        <v>12</v>
      </c>
      <c r="D387" s="29">
        <v>1</v>
      </c>
      <c r="E387" s="27" t="s">
        <v>504</v>
      </c>
      <c r="F387" s="27" t="s">
        <v>140</v>
      </c>
      <c r="G387" s="29">
        <v>1</v>
      </c>
    </row>
    <row r="388" spans="2:7" x14ac:dyDescent="0.25">
      <c r="B388" s="27" t="s">
        <v>129</v>
      </c>
      <c r="C388" s="27" t="s">
        <v>12</v>
      </c>
      <c r="D388" s="29">
        <v>1</v>
      </c>
      <c r="E388" s="27" t="s">
        <v>505</v>
      </c>
      <c r="F388" s="27" t="s">
        <v>140</v>
      </c>
      <c r="G388" s="29">
        <v>1</v>
      </c>
    </row>
    <row r="389" spans="2:7" x14ac:dyDescent="0.25">
      <c r="B389" s="27" t="s">
        <v>130</v>
      </c>
      <c r="C389" s="27" t="s">
        <v>12</v>
      </c>
      <c r="D389" s="29">
        <v>1</v>
      </c>
      <c r="E389" s="27" t="s">
        <v>506</v>
      </c>
      <c r="F389" s="27" t="s">
        <v>140</v>
      </c>
      <c r="G389" s="29">
        <v>1</v>
      </c>
    </row>
    <row r="390" spans="2:7" x14ac:dyDescent="0.25">
      <c r="B390" s="27" t="s">
        <v>131</v>
      </c>
      <c r="C390" s="27" t="s">
        <v>12</v>
      </c>
      <c r="D390" s="29">
        <v>1</v>
      </c>
      <c r="E390" s="27" t="s">
        <v>507</v>
      </c>
      <c r="F390" s="27" t="s">
        <v>140</v>
      </c>
      <c r="G390" s="29">
        <v>1</v>
      </c>
    </row>
    <row r="391" spans="2:7" x14ac:dyDescent="0.25">
      <c r="B391" s="27" t="s">
        <v>132</v>
      </c>
      <c r="C391" s="27" t="s">
        <v>12</v>
      </c>
      <c r="D391" s="29">
        <v>1</v>
      </c>
      <c r="E391" s="27" t="s">
        <v>508</v>
      </c>
      <c r="F391" s="27" t="s">
        <v>140</v>
      </c>
      <c r="G391" s="29">
        <v>1</v>
      </c>
    </row>
    <row r="392" spans="2:7" x14ac:dyDescent="0.25">
      <c r="B392" s="27" t="s">
        <v>133</v>
      </c>
      <c r="C392" s="27" t="s">
        <v>12</v>
      </c>
      <c r="D392" s="29">
        <v>1</v>
      </c>
      <c r="E392" s="27" t="s">
        <v>509</v>
      </c>
      <c r="F392" s="27" t="s">
        <v>140</v>
      </c>
      <c r="G392" s="29">
        <v>1</v>
      </c>
    </row>
    <row r="393" spans="2:7" x14ac:dyDescent="0.25">
      <c r="B393" s="27" t="s">
        <v>134</v>
      </c>
      <c r="C393" s="27" t="s">
        <v>12</v>
      </c>
      <c r="D393" s="29">
        <v>1</v>
      </c>
      <c r="E393" s="27" t="s">
        <v>510</v>
      </c>
      <c r="F393" s="27" t="s">
        <v>140</v>
      </c>
      <c r="G393" s="29">
        <v>1</v>
      </c>
    </row>
    <row r="394" spans="2:7" x14ac:dyDescent="0.25">
      <c r="B394" s="27" t="s">
        <v>135</v>
      </c>
      <c r="C394" s="27" t="s">
        <v>12</v>
      </c>
      <c r="D394" s="29">
        <v>2</v>
      </c>
      <c r="E394" s="27" t="s">
        <v>511</v>
      </c>
      <c r="F394" s="27" t="s">
        <v>140</v>
      </c>
      <c r="G394" s="29">
        <v>2</v>
      </c>
    </row>
    <row r="395" spans="2:7" x14ac:dyDescent="0.25">
      <c r="B395" s="27" t="s">
        <v>136</v>
      </c>
      <c r="C395" s="27" t="s">
        <v>12</v>
      </c>
      <c r="D395" s="29">
        <v>2</v>
      </c>
      <c r="E395" s="27" t="s">
        <v>512</v>
      </c>
      <c r="F395" s="27" t="s">
        <v>140</v>
      </c>
      <c r="G395" s="29">
        <v>2</v>
      </c>
    </row>
    <row r="396" spans="2:7" x14ac:dyDescent="0.25">
      <c r="B396" s="27" t="s">
        <v>137</v>
      </c>
      <c r="C396" s="27" t="s">
        <v>12</v>
      </c>
      <c r="D396" s="29">
        <v>1</v>
      </c>
      <c r="E396" s="27" t="s">
        <v>513</v>
      </c>
      <c r="F396" s="27" t="s">
        <v>140</v>
      </c>
      <c r="G396" s="29">
        <v>1</v>
      </c>
    </row>
    <row r="397" spans="2:7" ht="15.75" thickBot="1" x14ac:dyDescent="0.3">
      <c r="B397" s="25" t="s">
        <v>514</v>
      </c>
      <c r="C397" s="25"/>
      <c r="D397" s="25"/>
      <c r="E397" s="25"/>
      <c r="F397" s="25"/>
      <c r="G397" s="2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8"/>
  <sheetViews>
    <sheetView tabSelected="1" workbookViewId="0">
      <selection activeCell="M16" sqref="M16"/>
    </sheetView>
  </sheetViews>
  <sheetFormatPr defaultRowHeight="15" x14ac:dyDescent="0.25"/>
  <cols>
    <col min="1" max="1" width="9.85546875" bestFit="1" customWidth="1"/>
    <col min="4" max="4" width="8.42578125" customWidth="1"/>
    <col min="5" max="5" width="12.5703125" bestFit="1" customWidth="1"/>
    <col min="6" max="6" width="11.5703125" bestFit="1" customWidth="1"/>
    <col min="7" max="7" width="12.5703125" bestFit="1" customWidth="1"/>
    <col min="17" max="17" width="12.85546875" bestFit="1" customWidth="1"/>
    <col min="19" max="20" width="13.42578125" bestFit="1" customWidth="1"/>
    <col min="21" max="21" width="12.5703125" bestFit="1" customWidth="1"/>
  </cols>
  <sheetData>
    <row r="1" spans="1:19" ht="30.75" thickBot="1" x14ac:dyDescent="0.3">
      <c r="A1" t="s">
        <v>0</v>
      </c>
      <c r="B1" s="2" t="s">
        <v>2</v>
      </c>
      <c r="C1" s="3">
        <v>10</v>
      </c>
      <c r="D1" s="4" t="s">
        <v>10</v>
      </c>
      <c r="E1" s="5">
        <v>3</v>
      </c>
      <c r="P1" s="2" t="s">
        <v>2</v>
      </c>
      <c r="Q1" s="3">
        <v>10</v>
      </c>
      <c r="R1" s="4" t="s">
        <v>10</v>
      </c>
      <c r="S1" s="5">
        <v>3</v>
      </c>
    </row>
    <row r="2" spans="1:19" x14ac:dyDescent="0.25">
      <c r="A2" s="2"/>
      <c r="B2" s="6" t="s">
        <v>1</v>
      </c>
      <c r="C2" s="6" t="s">
        <v>14</v>
      </c>
      <c r="D2" s="6" t="s">
        <v>3</v>
      </c>
      <c r="E2" s="7" t="s">
        <v>4</v>
      </c>
      <c r="M2" t="s">
        <v>12</v>
      </c>
      <c r="N2" t="s">
        <v>13</v>
      </c>
      <c r="O2" t="s">
        <v>1</v>
      </c>
      <c r="P2" t="s">
        <v>14</v>
      </c>
      <c r="Q2" t="s">
        <v>17</v>
      </c>
      <c r="R2" t="s">
        <v>515</v>
      </c>
      <c r="S2" s="7" t="s">
        <v>4</v>
      </c>
    </row>
    <row r="3" spans="1:19" x14ac:dyDescent="0.25">
      <c r="A3" s="8">
        <v>41300</v>
      </c>
      <c r="B3" s="9"/>
      <c r="C3" s="9"/>
      <c r="D3" s="10">
        <f>IF(ISBLANK(C4),SUM(D4,Consumption(ROW(D3),COLUMN(D3))),$C$1)</f>
        <v>10</v>
      </c>
      <c r="E3" s="11">
        <f t="shared" ref="E3:E34" si="0">$E$1*D3+B3*C3</f>
        <v>30</v>
      </c>
      <c r="M3" s="23"/>
      <c r="N3">
        <f t="shared" ref="N3:N34" si="1">SUM(M3:M3)</f>
        <v>0</v>
      </c>
      <c r="O3">
        <v>0</v>
      </c>
      <c r="P3">
        <v>10</v>
      </c>
      <c r="Q3">
        <v>0</v>
      </c>
      <c r="R3">
        <f>P3-Q3</f>
        <v>10</v>
      </c>
      <c r="S3" s="11">
        <f>$S$1*R3+P3*Q3</f>
        <v>30</v>
      </c>
    </row>
    <row r="4" spans="1:19" x14ac:dyDescent="0.25">
      <c r="A4" s="8">
        <v>41301</v>
      </c>
      <c r="B4" s="9"/>
      <c r="C4" s="9"/>
      <c r="D4" s="10">
        <f>IF(ISBLANK(C5),SUM(D5,Consumption(ROW(D4),COLUMN(D4))),$C$1)</f>
        <v>10</v>
      </c>
      <c r="E4" s="11">
        <f t="shared" si="0"/>
        <v>30</v>
      </c>
      <c r="M4" s="23"/>
      <c r="N4">
        <f t="shared" si="1"/>
        <v>0</v>
      </c>
      <c r="O4">
        <f>(P4*P4*$G$33+P4*$H$33+$I$33)</f>
        <v>360.32</v>
      </c>
      <c r="P4">
        <f t="shared" ref="P4:P67" si="2">LOOKUP(N4,$G$36:$H$41)</f>
        <v>0</v>
      </c>
      <c r="Q4">
        <v>0</v>
      </c>
      <c r="R4">
        <f>R3+P4-Q4</f>
        <v>10</v>
      </c>
      <c r="S4" s="11">
        <f>$S$1*R4+P4*O4</f>
        <v>30</v>
      </c>
    </row>
    <row r="5" spans="1:19" x14ac:dyDescent="0.25">
      <c r="A5" s="8">
        <v>41302</v>
      </c>
      <c r="B5" s="9"/>
      <c r="C5" s="9"/>
      <c r="D5" s="10">
        <f>IF(ISBLANK(C6),SUM(D6,Consumption(ROW(D5),COLUMN(D5))),$C$1)</f>
        <v>10</v>
      </c>
      <c r="E5" s="11">
        <f t="shared" si="0"/>
        <v>30</v>
      </c>
      <c r="M5" s="23"/>
      <c r="N5">
        <f t="shared" si="1"/>
        <v>0</v>
      </c>
      <c r="O5">
        <f t="shared" ref="O5:O68" si="3">(P5*P5*$G$33+P5*$H$33+$I$33)</f>
        <v>360.32</v>
      </c>
      <c r="P5">
        <f t="shared" si="2"/>
        <v>0</v>
      </c>
      <c r="Q5">
        <v>0</v>
      </c>
      <c r="R5">
        <f t="shared" ref="R5:R68" si="4">R4+P5-Q5</f>
        <v>10</v>
      </c>
      <c r="S5" s="11">
        <f t="shared" ref="S5:S68" si="5">$S$1*R5+P5*O5</f>
        <v>30</v>
      </c>
    </row>
    <row r="6" spans="1:19" x14ac:dyDescent="0.25">
      <c r="A6" s="8">
        <v>41303</v>
      </c>
      <c r="B6" s="9"/>
      <c r="C6" s="9"/>
      <c r="D6" s="10">
        <f>IF(ISBLANK(C7),SUM(D7,Consumption(ROW(D6),COLUMN(D6))),$C$1)</f>
        <v>10</v>
      </c>
      <c r="E6" s="11">
        <f t="shared" si="0"/>
        <v>30</v>
      </c>
      <c r="M6" s="23"/>
      <c r="N6">
        <f t="shared" si="1"/>
        <v>0</v>
      </c>
      <c r="O6">
        <f t="shared" si="3"/>
        <v>360.32</v>
      </c>
      <c r="P6">
        <f t="shared" si="2"/>
        <v>0</v>
      </c>
      <c r="Q6">
        <v>0</v>
      </c>
      <c r="R6">
        <f t="shared" si="4"/>
        <v>10</v>
      </c>
      <c r="S6" s="11">
        <f t="shared" si="5"/>
        <v>30</v>
      </c>
    </row>
    <row r="7" spans="1:19" x14ac:dyDescent="0.25">
      <c r="A7" s="8">
        <v>41304</v>
      </c>
      <c r="B7" s="9"/>
      <c r="C7" s="9"/>
      <c r="D7" s="10">
        <f>IF(ISBLANK(C8),SUM(D8,Consumption(ROW(D7),COLUMN(D7))),$C$1)</f>
        <v>10</v>
      </c>
      <c r="E7" s="11">
        <f t="shared" si="0"/>
        <v>30</v>
      </c>
      <c r="M7" s="23"/>
      <c r="N7">
        <f t="shared" si="1"/>
        <v>0</v>
      </c>
      <c r="O7">
        <f t="shared" si="3"/>
        <v>360.32</v>
      </c>
      <c r="P7">
        <f t="shared" si="2"/>
        <v>0</v>
      </c>
      <c r="Q7">
        <v>0</v>
      </c>
      <c r="R7">
        <f t="shared" si="4"/>
        <v>10</v>
      </c>
      <c r="S7" s="11">
        <f t="shared" si="5"/>
        <v>30</v>
      </c>
    </row>
    <row r="8" spans="1:19" x14ac:dyDescent="0.25">
      <c r="A8" s="8">
        <v>41305</v>
      </c>
      <c r="B8" s="9"/>
      <c r="C8" s="9"/>
      <c r="D8" s="10">
        <f>IF(ISBLANK(C9),SUM(D9,Consumption(ROW(D8),COLUMN(D8))),$C$1)</f>
        <v>10</v>
      </c>
      <c r="E8" s="11">
        <f t="shared" si="0"/>
        <v>30</v>
      </c>
      <c r="M8" s="23"/>
      <c r="N8">
        <f t="shared" si="1"/>
        <v>0</v>
      </c>
      <c r="O8">
        <f t="shared" si="3"/>
        <v>360.32</v>
      </c>
      <c r="P8">
        <f t="shared" si="2"/>
        <v>0</v>
      </c>
      <c r="Q8">
        <v>0</v>
      </c>
      <c r="R8">
        <f t="shared" si="4"/>
        <v>10</v>
      </c>
      <c r="S8" s="11">
        <f t="shared" si="5"/>
        <v>30</v>
      </c>
    </row>
    <row r="9" spans="1:19" x14ac:dyDescent="0.25">
      <c r="A9" s="8">
        <v>41306</v>
      </c>
      <c r="B9" s="9"/>
      <c r="C9" s="9"/>
      <c r="D9" s="10">
        <f>IF(ISBLANK(C10),SUM(D10,Consumption(ROW(D9),COLUMN(D9))),$C$1)</f>
        <v>10</v>
      </c>
      <c r="E9" s="11">
        <f t="shared" si="0"/>
        <v>30</v>
      </c>
      <c r="M9" s="23"/>
      <c r="N9">
        <f t="shared" si="1"/>
        <v>0</v>
      </c>
      <c r="O9">
        <f t="shared" si="3"/>
        <v>360.32</v>
      </c>
      <c r="P9">
        <f t="shared" si="2"/>
        <v>0</v>
      </c>
      <c r="Q9">
        <v>0</v>
      </c>
      <c r="R9">
        <f t="shared" si="4"/>
        <v>10</v>
      </c>
      <c r="S9" s="11">
        <f t="shared" si="5"/>
        <v>30</v>
      </c>
    </row>
    <row r="10" spans="1:19" x14ac:dyDescent="0.25">
      <c r="A10" s="8">
        <v>41307</v>
      </c>
      <c r="B10" s="9"/>
      <c r="C10" s="9"/>
      <c r="D10" s="10">
        <f>IF(ISBLANK(C11),SUM(D11,Consumption(ROW(D10),COLUMN(D10))),$C$1)</f>
        <v>10</v>
      </c>
      <c r="E10" s="11">
        <f t="shared" si="0"/>
        <v>30</v>
      </c>
      <c r="M10" s="23"/>
      <c r="N10">
        <f t="shared" si="1"/>
        <v>0</v>
      </c>
      <c r="O10">
        <f t="shared" si="3"/>
        <v>360.32</v>
      </c>
      <c r="P10">
        <f t="shared" si="2"/>
        <v>0</v>
      </c>
      <c r="Q10">
        <v>0</v>
      </c>
      <c r="R10">
        <f t="shared" si="4"/>
        <v>10</v>
      </c>
      <c r="S10" s="11">
        <f t="shared" si="5"/>
        <v>30</v>
      </c>
    </row>
    <row r="11" spans="1:19" x14ac:dyDescent="0.25">
      <c r="A11" s="8">
        <v>41308</v>
      </c>
      <c r="B11" s="9"/>
      <c r="C11" s="9"/>
      <c r="D11" s="10">
        <f>IF(ISBLANK(C12),SUM(D12,Consumption(ROW(D11),COLUMN(D11))),$C$1)</f>
        <v>10</v>
      </c>
      <c r="E11" s="11">
        <f t="shared" si="0"/>
        <v>30</v>
      </c>
      <c r="M11" s="23"/>
      <c r="N11">
        <f t="shared" si="1"/>
        <v>0</v>
      </c>
      <c r="O11">
        <f t="shared" si="3"/>
        <v>360.32</v>
      </c>
      <c r="P11">
        <f t="shared" si="2"/>
        <v>0</v>
      </c>
      <c r="Q11">
        <v>0</v>
      </c>
      <c r="R11">
        <f t="shared" si="4"/>
        <v>10</v>
      </c>
      <c r="S11" s="11">
        <f t="shared" si="5"/>
        <v>30</v>
      </c>
    </row>
    <row r="12" spans="1:19" x14ac:dyDescent="0.25">
      <c r="A12" s="8">
        <v>41309</v>
      </c>
      <c r="B12" s="9"/>
      <c r="C12" s="9"/>
      <c r="D12" s="10">
        <f>IF(ISBLANK(C13),SUM(D13,Consumption(ROW(D12),COLUMN(D12))),$C$1)</f>
        <v>10</v>
      </c>
      <c r="E12" s="11">
        <f t="shared" si="0"/>
        <v>30</v>
      </c>
      <c r="M12" s="23"/>
      <c r="N12">
        <f t="shared" si="1"/>
        <v>0</v>
      </c>
      <c r="O12">
        <f t="shared" si="3"/>
        <v>360.32</v>
      </c>
      <c r="P12">
        <f t="shared" si="2"/>
        <v>0</v>
      </c>
      <c r="Q12">
        <v>0</v>
      </c>
      <c r="R12">
        <f t="shared" si="4"/>
        <v>10</v>
      </c>
      <c r="S12" s="11">
        <f t="shared" si="5"/>
        <v>30</v>
      </c>
    </row>
    <row r="13" spans="1:19" x14ac:dyDescent="0.25">
      <c r="A13" s="8">
        <v>41310</v>
      </c>
      <c r="B13" s="9"/>
      <c r="C13" s="9"/>
      <c r="D13" s="10">
        <f>IF(ISBLANK(C14),SUM(D14,Consumption(ROW(D13),COLUMN(D13))),$C$1)</f>
        <v>10</v>
      </c>
      <c r="E13" s="11">
        <f t="shared" si="0"/>
        <v>30</v>
      </c>
      <c r="M13" s="23"/>
      <c r="N13">
        <f t="shared" si="1"/>
        <v>0</v>
      </c>
      <c r="O13">
        <f t="shared" si="3"/>
        <v>360.32</v>
      </c>
      <c r="P13">
        <f t="shared" si="2"/>
        <v>0</v>
      </c>
      <c r="Q13">
        <v>0</v>
      </c>
      <c r="R13">
        <f t="shared" si="4"/>
        <v>10</v>
      </c>
      <c r="S13" s="11">
        <f t="shared" si="5"/>
        <v>30</v>
      </c>
    </row>
    <row r="14" spans="1:19" x14ac:dyDescent="0.25">
      <c r="A14" s="8">
        <v>41311</v>
      </c>
      <c r="B14" s="9"/>
      <c r="C14" s="9"/>
      <c r="D14" s="10">
        <f>IF(ISBLANK(C15),SUM(D15,Consumption(ROW(D14),COLUMN(D14))),$C$1)</f>
        <v>10</v>
      </c>
      <c r="E14" s="11">
        <f t="shared" si="0"/>
        <v>30</v>
      </c>
      <c r="M14" s="23"/>
      <c r="N14">
        <f t="shared" si="1"/>
        <v>0</v>
      </c>
      <c r="O14">
        <f t="shared" si="3"/>
        <v>360.32</v>
      </c>
      <c r="P14">
        <f t="shared" si="2"/>
        <v>0</v>
      </c>
      <c r="Q14">
        <v>0</v>
      </c>
      <c r="R14">
        <f t="shared" si="4"/>
        <v>10</v>
      </c>
      <c r="S14" s="11">
        <f t="shared" si="5"/>
        <v>30</v>
      </c>
    </row>
    <row r="15" spans="1:19" x14ac:dyDescent="0.25">
      <c r="A15" s="8">
        <v>41312</v>
      </c>
      <c r="B15" s="9"/>
      <c r="C15" s="9"/>
      <c r="D15" s="10">
        <f>IF(ISBLANK(C16),SUM(D16,Consumption(ROW(D15),COLUMN(D15))),$C$1)</f>
        <v>10</v>
      </c>
      <c r="E15" s="11">
        <f t="shared" si="0"/>
        <v>30</v>
      </c>
      <c r="M15" s="23"/>
      <c r="N15">
        <f t="shared" si="1"/>
        <v>0</v>
      </c>
      <c r="O15">
        <f t="shared" si="3"/>
        <v>360.32</v>
      </c>
      <c r="P15">
        <f t="shared" si="2"/>
        <v>0</v>
      </c>
      <c r="Q15">
        <v>0</v>
      </c>
      <c r="R15">
        <f t="shared" si="4"/>
        <v>10</v>
      </c>
      <c r="S15" s="11">
        <f t="shared" si="5"/>
        <v>30</v>
      </c>
    </row>
    <row r="16" spans="1:19" x14ac:dyDescent="0.25">
      <c r="A16" s="8">
        <v>41313</v>
      </c>
      <c r="B16" s="9"/>
      <c r="C16" s="9"/>
      <c r="D16" s="10">
        <f>IF(ISBLANK(C17),SUM(D17,Consumption(ROW(D16),COLUMN(D16))),$C$1)</f>
        <v>10</v>
      </c>
      <c r="E16" s="11">
        <f t="shared" si="0"/>
        <v>30</v>
      </c>
      <c r="M16" s="23"/>
      <c r="N16">
        <f t="shared" si="1"/>
        <v>0</v>
      </c>
      <c r="O16">
        <f t="shared" si="3"/>
        <v>360.32</v>
      </c>
      <c r="P16">
        <f t="shared" si="2"/>
        <v>0</v>
      </c>
      <c r="Q16">
        <v>0</v>
      </c>
      <c r="R16">
        <f t="shared" si="4"/>
        <v>10</v>
      </c>
      <c r="S16" s="11">
        <f t="shared" si="5"/>
        <v>30</v>
      </c>
    </row>
    <row r="17" spans="1:19" x14ac:dyDescent="0.25">
      <c r="A17" s="8">
        <v>41314</v>
      </c>
      <c r="B17" s="9"/>
      <c r="C17" s="9"/>
      <c r="D17" s="10">
        <f>IF(ISBLANK(C18),SUM(D18,Consumption(ROW(D17),COLUMN(D17))),$C$1)</f>
        <v>10</v>
      </c>
      <c r="E17" s="11">
        <f t="shared" si="0"/>
        <v>30</v>
      </c>
      <c r="M17" s="23"/>
      <c r="N17">
        <f t="shared" si="1"/>
        <v>0</v>
      </c>
      <c r="O17">
        <f t="shared" si="3"/>
        <v>360.32</v>
      </c>
      <c r="P17">
        <f t="shared" si="2"/>
        <v>0</v>
      </c>
      <c r="Q17">
        <v>0</v>
      </c>
      <c r="R17">
        <f t="shared" si="4"/>
        <v>10</v>
      </c>
      <c r="S17" s="11">
        <f t="shared" si="5"/>
        <v>30</v>
      </c>
    </row>
    <row r="18" spans="1:19" x14ac:dyDescent="0.25">
      <c r="A18" s="8">
        <v>41315</v>
      </c>
      <c r="B18" s="9"/>
      <c r="C18" s="9"/>
      <c r="D18" s="10">
        <f>IF(ISBLANK(C19),SUM(D19,Consumption(ROW(D18),COLUMN(D18))),$C$1)</f>
        <v>10</v>
      </c>
      <c r="E18" s="11">
        <f t="shared" si="0"/>
        <v>30</v>
      </c>
      <c r="M18" s="23"/>
      <c r="N18">
        <f t="shared" si="1"/>
        <v>0</v>
      </c>
      <c r="O18">
        <f t="shared" si="3"/>
        <v>360.32</v>
      </c>
      <c r="P18">
        <f t="shared" si="2"/>
        <v>0</v>
      </c>
      <c r="Q18">
        <v>0</v>
      </c>
      <c r="R18">
        <f t="shared" si="4"/>
        <v>10</v>
      </c>
      <c r="S18" s="11">
        <f t="shared" si="5"/>
        <v>30</v>
      </c>
    </row>
    <row r="19" spans="1:19" x14ac:dyDescent="0.25">
      <c r="A19" s="8">
        <v>41316</v>
      </c>
      <c r="B19" s="9"/>
      <c r="C19" s="9"/>
      <c r="D19" s="10">
        <f>IF(ISBLANK(C20),SUM(D20,Consumption(ROW(D19),COLUMN(D19))),$C$1)</f>
        <v>10</v>
      </c>
      <c r="E19" s="11">
        <f t="shared" si="0"/>
        <v>30</v>
      </c>
      <c r="M19" s="23"/>
      <c r="N19">
        <f t="shared" si="1"/>
        <v>0</v>
      </c>
      <c r="O19">
        <f t="shared" si="3"/>
        <v>360.32</v>
      </c>
      <c r="P19">
        <f t="shared" si="2"/>
        <v>0</v>
      </c>
      <c r="Q19">
        <v>0</v>
      </c>
      <c r="R19">
        <f t="shared" si="4"/>
        <v>10</v>
      </c>
      <c r="S19" s="11">
        <f t="shared" si="5"/>
        <v>30</v>
      </c>
    </row>
    <row r="20" spans="1:19" x14ac:dyDescent="0.25">
      <c r="A20" s="8">
        <v>41317</v>
      </c>
      <c r="B20" s="9"/>
      <c r="C20" s="9"/>
      <c r="D20" s="10">
        <f>IF(ISBLANK(C21),SUM(D21,Consumption(ROW(D20),COLUMN(D20))),$C$1)</f>
        <v>10</v>
      </c>
      <c r="E20" s="11">
        <f t="shared" si="0"/>
        <v>30</v>
      </c>
      <c r="M20" s="23"/>
      <c r="N20">
        <f t="shared" si="1"/>
        <v>0</v>
      </c>
      <c r="O20">
        <f t="shared" si="3"/>
        <v>360.32</v>
      </c>
      <c r="P20">
        <f t="shared" si="2"/>
        <v>0</v>
      </c>
      <c r="Q20">
        <v>0</v>
      </c>
      <c r="R20">
        <f t="shared" si="4"/>
        <v>10</v>
      </c>
      <c r="S20" s="11">
        <f t="shared" si="5"/>
        <v>30</v>
      </c>
    </row>
    <row r="21" spans="1:19" x14ac:dyDescent="0.25">
      <c r="A21" s="8">
        <v>41318</v>
      </c>
      <c r="B21" s="9"/>
      <c r="C21" s="9"/>
      <c r="D21" s="10">
        <f>IF(ISBLANK(C22),SUM(D22,Consumption(ROW(D21),COLUMN(D21))),$C$1)</f>
        <v>10</v>
      </c>
      <c r="E21" s="11">
        <f t="shared" si="0"/>
        <v>30</v>
      </c>
      <c r="M21" s="23"/>
      <c r="N21">
        <f t="shared" si="1"/>
        <v>0</v>
      </c>
      <c r="O21">
        <f t="shared" si="3"/>
        <v>360.32</v>
      </c>
      <c r="P21">
        <f t="shared" si="2"/>
        <v>0</v>
      </c>
      <c r="Q21">
        <v>0</v>
      </c>
      <c r="R21">
        <f t="shared" si="4"/>
        <v>10</v>
      </c>
      <c r="S21" s="11">
        <f t="shared" si="5"/>
        <v>30</v>
      </c>
    </row>
    <row r="22" spans="1:19" x14ac:dyDescent="0.25">
      <c r="A22" s="8">
        <v>41319</v>
      </c>
      <c r="B22" s="9"/>
      <c r="C22" s="9"/>
      <c r="D22" s="10">
        <f>IF(ISBLANK(C23),SUM(D23,Consumption(ROW(D22),COLUMN(D22))),$C$1)</f>
        <v>10</v>
      </c>
      <c r="E22" s="11">
        <f t="shared" si="0"/>
        <v>30</v>
      </c>
      <c r="M22" s="23"/>
      <c r="N22">
        <f t="shared" si="1"/>
        <v>0</v>
      </c>
      <c r="O22">
        <f t="shared" si="3"/>
        <v>360.32</v>
      </c>
      <c r="P22">
        <f t="shared" si="2"/>
        <v>0</v>
      </c>
      <c r="Q22">
        <v>0</v>
      </c>
      <c r="R22">
        <f t="shared" si="4"/>
        <v>10</v>
      </c>
      <c r="S22" s="11">
        <f t="shared" si="5"/>
        <v>30</v>
      </c>
    </row>
    <row r="23" spans="1:19" x14ac:dyDescent="0.25">
      <c r="A23" s="8">
        <v>41320</v>
      </c>
      <c r="B23" s="9"/>
      <c r="C23" s="9"/>
      <c r="D23" s="10">
        <f>IF(ISBLANK(C24),SUM(D24,Consumption(ROW(D23),COLUMN(D23))),$C$1)</f>
        <v>10</v>
      </c>
      <c r="E23" s="11">
        <f t="shared" si="0"/>
        <v>30</v>
      </c>
      <c r="M23" s="23"/>
      <c r="N23">
        <f t="shared" si="1"/>
        <v>0</v>
      </c>
      <c r="O23">
        <f t="shared" si="3"/>
        <v>360.32</v>
      </c>
      <c r="P23">
        <f t="shared" si="2"/>
        <v>0</v>
      </c>
      <c r="Q23">
        <v>0</v>
      </c>
      <c r="R23">
        <f t="shared" si="4"/>
        <v>10</v>
      </c>
      <c r="S23" s="11">
        <f t="shared" si="5"/>
        <v>30</v>
      </c>
    </row>
    <row r="24" spans="1:19" x14ac:dyDescent="0.25">
      <c r="A24" s="8">
        <v>41321</v>
      </c>
      <c r="B24" s="9"/>
      <c r="C24" s="9"/>
      <c r="D24" s="10">
        <f>IF(ISBLANK(C25),SUM(D25,Consumption(ROW(D24),COLUMN(D24))),$C$1)</f>
        <v>10</v>
      </c>
      <c r="E24" s="11">
        <f t="shared" si="0"/>
        <v>30</v>
      </c>
      <c r="M24" s="23"/>
      <c r="N24">
        <f t="shared" si="1"/>
        <v>0</v>
      </c>
      <c r="O24">
        <f t="shared" si="3"/>
        <v>360.32</v>
      </c>
      <c r="P24">
        <f t="shared" si="2"/>
        <v>0</v>
      </c>
      <c r="Q24">
        <v>0</v>
      </c>
      <c r="R24">
        <f t="shared" si="4"/>
        <v>10</v>
      </c>
      <c r="S24" s="11">
        <f t="shared" si="5"/>
        <v>30</v>
      </c>
    </row>
    <row r="25" spans="1:19" ht="15.75" thickBot="1" x14ac:dyDescent="0.3">
      <c r="A25" s="8">
        <v>41322</v>
      </c>
      <c r="B25" s="9"/>
      <c r="C25" s="9"/>
      <c r="D25" s="10">
        <f>IF(ISBLANK(C26),SUM(D26,Consumption(ROW(D25),COLUMN(D25))),$C$1)</f>
        <v>10</v>
      </c>
      <c r="E25" s="11">
        <f t="shared" si="0"/>
        <v>30</v>
      </c>
      <c r="M25" s="23"/>
      <c r="N25">
        <f t="shared" si="1"/>
        <v>0</v>
      </c>
      <c r="O25">
        <f t="shared" si="3"/>
        <v>360.32</v>
      </c>
      <c r="P25">
        <f t="shared" si="2"/>
        <v>0</v>
      </c>
      <c r="Q25">
        <v>0</v>
      </c>
      <c r="R25">
        <f t="shared" si="4"/>
        <v>10</v>
      </c>
      <c r="S25" s="11">
        <f t="shared" si="5"/>
        <v>30</v>
      </c>
    </row>
    <row r="26" spans="1:19" x14ac:dyDescent="0.25">
      <c r="A26" s="8">
        <v>41323</v>
      </c>
      <c r="B26" s="9">
        <v>325</v>
      </c>
      <c r="C26" s="9">
        <v>180</v>
      </c>
      <c r="D26" s="10">
        <f>IF(ISBLANK(C27),SUM(D27,Consumption(ROW(D26),COLUMN(D26))),$C$1)</f>
        <v>173.46153846153848</v>
      </c>
      <c r="E26" s="11">
        <f t="shared" si="0"/>
        <v>59020.384615384617</v>
      </c>
      <c r="G26" s="2" t="s">
        <v>6</v>
      </c>
      <c r="H26" s="7" t="s">
        <v>5</v>
      </c>
      <c r="M26" s="23">
        <v>4</v>
      </c>
      <c r="N26">
        <f t="shared" si="1"/>
        <v>4</v>
      </c>
      <c r="O26">
        <f t="shared" si="3"/>
        <v>329.28800000000001</v>
      </c>
      <c r="P26">
        <f t="shared" si="2"/>
        <v>180</v>
      </c>
      <c r="Q26">
        <v>8.4210526315789469</v>
      </c>
      <c r="R26">
        <f t="shared" si="4"/>
        <v>181.57894736842104</v>
      </c>
      <c r="S26" s="11">
        <f t="shared" si="5"/>
        <v>59816.576842105263</v>
      </c>
    </row>
    <row r="27" spans="1:19" x14ac:dyDescent="0.25">
      <c r="A27" s="8">
        <v>41324</v>
      </c>
      <c r="B27" s="9"/>
      <c r="C27" s="9"/>
      <c r="D27" s="10">
        <f>IF(ISBLANK(C28),SUM(D28,Consumption(ROW(D27),COLUMN(D27))),$C$1)</f>
        <v>166.92307692307693</v>
      </c>
      <c r="E27" s="11">
        <f t="shared" si="0"/>
        <v>500.76923076923083</v>
      </c>
      <c r="G27" s="18">
        <v>45</v>
      </c>
      <c r="H27" s="19">
        <v>350</v>
      </c>
      <c r="M27" s="23"/>
      <c r="N27">
        <f t="shared" si="1"/>
        <v>0</v>
      </c>
      <c r="O27">
        <f t="shared" si="3"/>
        <v>360.32</v>
      </c>
      <c r="P27">
        <f t="shared" si="2"/>
        <v>0</v>
      </c>
      <c r="Q27">
        <v>8.4210526315789469</v>
      </c>
      <c r="R27">
        <f t="shared" si="4"/>
        <v>173.15789473684208</v>
      </c>
      <c r="S27" s="11">
        <f t="shared" si="5"/>
        <v>519.47368421052624</v>
      </c>
    </row>
    <row r="28" spans="1:19" x14ac:dyDescent="0.25">
      <c r="A28" s="8">
        <v>41325</v>
      </c>
      <c r="B28" s="9"/>
      <c r="C28" s="9"/>
      <c r="D28" s="10">
        <f>IF(ISBLANK(C29),SUM(D29,Consumption(ROW(D28),COLUMN(D28))),$C$1)</f>
        <v>160.38461538461539</v>
      </c>
      <c r="E28" s="11">
        <f t="shared" si="0"/>
        <v>481.15384615384619</v>
      </c>
      <c r="G28" s="18">
        <v>80</v>
      </c>
      <c r="H28" s="19">
        <v>350</v>
      </c>
      <c r="M28" s="23"/>
      <c r="N28">
        <f t="shared" si="1"/>
        <v>0</v>
      </c>
      <c r="O28">
        <f t="shared" si="3"/>
        <v>360.32</v>
      </c>
      <c r="P28">
        <f t="shared" si="2"/>
        <v>0</v>
      </c>
      <c r="Q28">
        <v>8.4210526315789469</v>
      </c>
      <c r="R28">
        <f t="shared" si="4"/>
        <v>164.73684210526312</v>
      </c>
      <c r="S28" s="11">
        <f t="shared" si="5"/>
        <v>494.21052631578937</v>
      </c>
    </row>
    <row r="29" spans="1:19" x14ac:dyDescent="0.25">
      <c r="A29" s="8">
        <v>41326</v>
      </c>
      <c r="B29" s="9"/>
      <c r="C29" s="9"/>
      <c r="D29" s="10">
        <f>IF(ISBLANK(C30),SUM(D30,Consumption(ROW(D29),COLUMN(D29))),$C$1)</f>
        <v>153.84615384615384</v>
      </c>
      <c r="E29" s="11">
        <f t="shared" si="0"/>
        <v>461.53846153846155</v>
      </c>
      <c r="G29" s="18">
        <v>180</v>
      </c>
      <c r="H29" s="19">
        <v>330</v>
      </c>
      <c r="M29" s="23"/>
      <c r="N29">
        <f t="shared" si="1"/>
        <v>0</v>
      </c>
      <c r="O29">
        <f t="shared" si="3"/>
        <v>360.32</v>
      </c>
      <c r="P29">
        <f t="shared" si="2"/>
        <v>0</v>
      </c>
      <c r="Q29">
        <v>8.4210526315789469</v>
      </c>
      <c r="R29">
        <f t="shared" si="4"/>
        <v>156.31578947368416</v>
      </c>
      <c r="S29" s="11">
        <f t="shared" si="5"/>
        <v>468.94736842105249</v>
      </c>
    </row>
    <row r="30" spans="1:19" x14ac:dyDescent="0.25">
      <c r="A30" s="8">
        <v>41327</v>
      </c>
      <c r="B30" s="9"/>
      <c r="C30" s="9"/>
      <c r="D30" s="10">
        <f>IF(ISBLANK(C31),SUM(D31,Consumption(ROW(D30),COLUMN(D30))),$C$1)</f>
        <v>147.30769230769229</v>
      </c>
      <c r="E30" s="11">
        <f t="shared" si="0"/>
        <v>441.92307692307691</v>
      </c>
      <c r="G30" s="18">
        <v>180</v>
      </c>
      <c r="H30" s="19">
        <v>325</v>
      </c>
      <c r="M30" s="23"/>
      <c r="N30">
        <f t="shared" si="1"/>
        <v>0</v>
      </c>
      <c r="O30">
        <f t="shared" si="3"/>
        <v>360.32</v>
      </c>
      <c r="P30">
        <f t="shared" si="2"/>
        <v>0</v>
      </c>
      <c r="Q30">
        <v>8.4210526315789469</v>
      </c>
      <c r="R30">
        <f t="shared" si="4"/>
        <v>147.8947368421052</v>
      </c>
      <c r="S30" s="11">
        <f t="shared" si="5"/>
        <v>443.68421052631561</v>
      </c>
    </row>
    <row r="31" spans="1:19" ht="15.75" thickBot="1" x14ac:dyDescent="0.3">
      <c r="A31" s="8">
        <v>41328</v>
      </c>
      <c r="B31" s="9"/>
      <c r="C31" s="9"/>
      <c r="D31" s="10">
        <f>IF(ISBLANK(C32),SUM(D32,Consumption(ROW(D31),COLUMN(D31))),$C$1)</f>
        <v>140.76923076923075</v>
      </c>
      <c r="E31" s="11">
        <f t="shared" si="0"/>
        <v>422.30769230769226</v>
      </c>
      <c r="G31" s="20">
        <v>180</v>
      </c>
      <c r="H31" s="21">
        <v>332</v>
      </c>
      <c r="M31" s="23"/>
      <c r="N31">
        <f t="shared" si="1"/>
        <v>0</v>
      </c>
      <c r="O31">
        <f t="shared" si="3"/>
        <v>360.32</v>
      </c>
      <c r="P31">
        <f t="shared" si="2"/>
        <v>0</v>
      </c>
      <c r="Q31">
        <v>8.4210526315789469</v>
      </c>
      <c r="R31">
        <f t="shared" si="4"/>
        <v>139.47368421052624</v>
      </c>
      <c r="S31" s="11">
        <f t="shared" si="5"/>
        <v>418.42105263157873</v>
      </c>
    </row>
    <row r="32" spans="1:19" x14ac:dyDescent="0.25">
      <c r="A32" s="8">
        <v>41329</v>
      </c>
      <c r="B32" s="9"/>
      <c r="C32" s="9"/>
      <c r="D32" s="10">
        <f>IF(ISBLANK(C33),SUM(D33,Consumption(ROW(D32),COLUMN(D32))),$C$1)</f>
        <v>134.2307692307692</v>
      </c>
      <c r="E32" s="11">
        <f t="shared" si="0"/>
        <v>402.69230769230762</v>
      </c>
      <c r="M32" s="23"/>
      <c r="N32">
        <f t="shared" si="1"/>
        <v>0</v>
      </c>
      <c r="O32">
        <f t="shared" si="3"/>
        <v>360.32</v>
      </c>
      <c r="P32">
        <f t="shared" si="2"/>
        <v>0</v>
      </c>
      <c r="Q32">
        <v>8.4210526315789469</v>
      </c>
      <c r="R32">
        <f t="shared" si="4"/>
        <v>131.05263157894728</v>
      </c>
      <c r="S32" s="11">
        <f t="shared" si="5"/>
        <v>393.15789473684185</v>
      </c>
    </row>
    <row r="33" spans="1:19" x14ac:dyDescent="0.25">
      <c r="A33" s="8">
        <v>41330</v>
      </c>
      <c r="B33" s="9"/>
      <c r="C33" s="9"/>
      <c r="D33" s="10">
        <f>IF(ISBLANK(C34),SUM(D34,Consumption(ROW(D33),COLUMN(D33))),$C$1)</f>
        <v>127.69230769230765</v>
      </c>
      <c r="E33" s="11">
        <f t="shared" si="0"/>
        <v>383.07692307692298</v>
      </c>
      <c r="G33" s="22"/>
      <c r="H33" s="22">
        <v>-0.1724</v>
      </c>
      <c r="I33" s="22">
        <v>360.32</v>
      </c>
      <c r="M33" s="23"/>
      <c r="N33">
        <f t="shared" si="1"/>
        <v>0</v>
      </c>
      <c r="O33">
        <f t="shared" si="3"/>
        <v>360.32</v>
      </c>
      <c r="P33">
        <f t="shared" si="2"/>
        <v>0</v>
      </c>
      <c r="Q33">
        <v>8.4210526315789469</v>
      </c>
      <c r="R33">
        <f t="shared" si="4"/>
        <v>122.63157894736834</v>
      </c>
      <c r="S33" s="11">
        <f t="shared" si="5"/>
        <v>367.89473684210503</v>
      </c>
    </row>
    <row r="34" spans="1:19" x14ac:dyDescent="0.25">
      <c r="A34" s="8">
        <v>41331</v>
      </c>
      <c r="B34" s="9"/>
      <c r="C34" s="9"/>
      <c r="D34" s="10">
        <f>IF(ISBLANK(C35),SUM(D35,Consumption(ROW(D34),COLUMN(D34))),$C$1)</f>
        <v>121.15384615384612</v>
      </c>
      <c r="E34" s="11">
        <f t="shared" si="0"/>
        <v>363.46153846153834</v>
      </c>
      <c r="M34" s="23"/>
      <c r="N34">
        <f t="shared" si="1"/>
        <v>0</v>
      </c>
      <c r="O34">
        <f t="shared" si="3"/>
        <v>360.32</v>
      </c>
      <c r="P34">
        <f t="shared" si="2"/>
        <v>0</v>
      </c>
      <c r="Q34">
        <v>8.4210526315789469</v>
      </c>
      <c r="R34">
        <f t="shared" si="4"/>
        <v>114.21052631578939</v>
      </c>
      <c r="S34" s="11">
        <f t="shared" si="5"/>
        <v>342.63157894736821</v>
      </c>
    </row>
    <row r="35" spans="1:19" x14ac:dyDescent="0.25">
      <c r="A35" s="8">
        <v>41332</v>
      </c>
      <c r="B35" s="9"/>
      <c r="C35" s="9"/>
      <c r="D35" s="10">
        <f>IF(ISBLANK(C36),SUM(D36,Consumption(ROW(D35),COLUMN(D35))),$C$1)</f>
        <v>114.61538461538458</v>
      </c>
      <c r="E35" s="11">
        <f t="shared" ref="E35:E66" si="6">$E$1*D35+B35*C35</f>
        <v>343.84615384615375</v>
      </c>
      <c r="G35" t="s">
        <v>15</v>
      </c>
      <c r="H35" t="s">
        <v>16</v>
      </c>
      <c r="M35" s="23"/>
      <c r="N35">
        <f t="shared" ref="N35:N66" si="7">SUM(M35:M35)</f>
        <v>0</v>
      </c>
      <c r="O35">
        <f t="shared" si="3"/>
        <v>360.32</v>
      </c>
      <c r="P35">
        <f t="shared" si="2"/>
        <v>0</v>
      </c>
      <c r="Q35">
        <v>8.4210526315789469</v>
      </c>
      <c r="R35">
        <f t="shared" si="4"/>
        <v>105.78947368421045</v>
      </c>
      <c r="S35" s="11">
        <f t="shared" si="5"/>
        <v>317.36842105263133</v>
      </c>
    </row>
    <row r="36" spans="1:19" x14ac:dyDescent="0.25">
      <c r="A36" s="8">
        <v>41333</v>
      </c>
      <c r="B36" s="9"/>
      <c r="C36" s="9"/>
      <c r="D36" s="10">
        <f>IF(ISBLANK(C37),SUM(D37,Consumption(ROW(D36),COLUMN(D36))),$C$1)</f>
        <v>108.07692307692305</v>
      </c>
      <c r="E36" s="11">
        <f t="shared" si="6"/>
        <v>324.23076923076917</v>
      </c>
      <c r="G36">
        <v>0</v>
      </c>
      <c r="H36">
        <v>0</v>
      </c>
      <c r="I36">
        <v>0</v>
      </c>
      <c r="M36" s="23"/>
      <c r="N36">
        <f t="shared" si="7"/>
        <v>0</v>
      </c>
      <c r="O36">
        <f t="shared" si="3"/>
        <v>360.32</v>
      </c>
      <c r="P36">
        <f t="shared" si="2"/>
        <v>0</v>
      </c>
      <c r="Q36">
        <v>8.4210526315789469</v>
      </c>
      <c r="R36">
        <f t="shared" si="4"/>
        <v>97.368421052631504</v>
      </c>
      <c r="S36" s="11">
        <f t="shared" si="5"/>
        <v>292.10526315789451</v>
      </c>
    </row>
    <row r="37" spans="1:19" x14ac:dyDescent="0.25">
      <c r="A37" s="8">
        <v>41334</v>
      </c>
      <c r="B37" s="9"/>
      <c r="C37" s="9"/>
      <c r="D37" s="10">
        <f>IF(ISBLANK(C38),SUM(D38,Consumption(ROW(D37),COLUMN(D37))),$C$1)</f>
        <v>101.53846153846152</v>
      </c>
      <c r="E37" s="11">
        <f t="shared" si="6"/>
        <v>304.61538461538453</v>
      </c>
      <c r="G37">
        <v>1</v>
      </c>
      <c r="H37">
        <v>20</v>
      </c>
      <c r="M37" s="23"/>
      <c r="N37">
        <f t="shared" si="7"/>
        <v>0</v>
      </c>
      <c r="O37">
        <f t="shared" si="3"/>
        <v>360.32</v>
      </c>
      <c r="P37">
        <f t="shared" si="2"/>
        <v>0</v>
      </c>
      <c r="Q37">
        <v>8.4210526315789469</v>
      </c>
      <c r="R37">
        <f t="shared" si="4"/>
        <v>88.947368421052559</v>
      </c>
      <c r="S37" s="11">
        <f t="shared" si="5"/>
        <v>266.84210526315769</v>
      </c>
    </row>
    <row r="38" spans="1:19" x14ac:dyDescent="0.25">
      <c r="A38" s="8">
        <v>41335</v>
      </c>
      <c r="B38" s="9"/>
      <c r="C38" s="9"/>
      <c r="D38" s="10">
        <f>IF(ISBLANK(C39),SUM(D39,Consumption(ROW(D38),COLUMN(D38))),$C$1)</f>
        <v>94.999999999999986</v>
      </c>
      <c r="E38" s="11">
        <f t="shared" si="6"/>
        <v>284.99999999999994</v>
      </c>
      <c r="G38">
        <v>2</v>
      </c>
      <c r="H38">
        <v>40</v>
      </c>
      <c r="M38" s="23"/>
      <c r="N38">
        <f t="shared" si="7"/>
        <v>0</v>
      </c>
      <c r="O38">
        <f t="shared" si="3"/>
        <v>360.32</v>
      </c>
      <c r="P38">
        <f t="shared" si="2"/>
        <v>0</v>
      </c>
      <c r="Q38">
        <v>8.4210526315789469</v>
      </c>
      <c r="R38">
        <f t="shared" si="4"/>
        <v>80.526315789473614</v>
      </c>
      <c r="S38" s="11">
        <f t="shared" si="5"/>
        <v>241.57894736842084</v>
      </c>
    </row>
    <row r="39" spans="1:19" x14ac:dyDescent="0.25">
      <c r="A39" s="8">
        <v>41336</v>
      </c>
      <c r="B39" s="9"/>
      <c r="C39" s="9"/>
      <c r="D39" s="10">
        <f>IF(ISBLANK(C40),SUM(D40,Consumption(ROW(D39),COLUMN(D39))),$C$1)</f>
        <v>88.461538461538453</v>
      </c>
      <c r="E39" s="11">
        <f t="shared" si="6"/>
        <v>265.38461538461536</v>
      </c>
      <c r="G39">
        <v>3</v>
      </c>
      <c r="H39">
        <v>60</v>
      </c>
      <c r="M39" s="23"/>
      <c r="N39">
        <f t="shared" si="7"/>
        <v>0</v>
      </c>
      <c r="O39">
        <f t="shared" si="3"/>
        <v>360.32</v>
      </c>
      <c r="P39">
        <f t="shared" si="2"/>
        <v>0</v>
      </c>
      <c r="Q39">
        <v>8.4210526315789469</v>
      </c>
      <c r="R39">
        <f t="shared" si="4"/>
        <v>72.105263157894669</v>
      </c>
      <c r="S39" s="11">
        <f t="shared" si="5"/>
        <v>216.31578947368399</v>
      </c>
    </row>
    <row r="40" spans="1:19" x14ac:dyDescent="0.25">
      <c r="A40" s="8">
        <v>41337</v>
      </c>
      <c r="B40" s="9"/>
      <c r="C40" s="9"/>
      <c r="D40" s="10">
        <f>IF(ISBLANK(C41),SUM(D41,Consumption(ROW(D40),COLUMN(D40))),$C$1)</f>
        <v>81.92307692307692</v>
      </c>
      <c r="E40" s="11">
        <f t="shared" si="6"/>
        <v>245.76923076923077</v>
      </c>
      <c r="G40">
        <v>4</v>
      </c>
      <c r="H40">
        <v>180</v>
      </c>
      <c r="M40" s="23"/>
      <c r="N40">
        <f t="shared" si="7"/>
        <v>0</v>
      </c>
      <c r="O40">
        <f t="shared" si="3"/>
        <v>360.32</v>
      </c>
      <c r="P40">
        <f t="shared" si="2"/>
        <v>0</v>
      </c>
      <c r="Q40">
        <v>8.4210526315789469</v>
      </c>
      <c r="R40">
        <f t="shared" si="4"/>
        <v>63.684210526315724</v>
      </c>
      <c r="S40" s="11">
        <f t="shared" si="5"/>
        <v>191.05263157894717</v>
      </c>
    </row>
    <row r="41" spans="1:19" x14ac:dyDescent="0.25">
      <c r="A41" s="8">
        <v>41338</v>
      </c>
      <c r="B41" s="9"/>
      <c r="C41" s="9"/>
      <c r="D41" s="10">
        <f>IF(ISBLANK(C42),SUM(D42,Consumption(ROW(D41),COLUMN(D41))),$C$1)</f>
        <v>75.384615384615387</v>
      </c>
      <c r="E41" s="11">
        <f t="shared" si="6"/>
        <v>226.15384615384616</v>
      </c>
      <c r="G41">
        <v>5</v>
      </c>
      <c r="H41">
        <v>360</v>
      </c>
      <c r="M41" s="23"/>
      <c r="N41">
        <f t="shared" si="7"/>
        <v>0</v>
      </c>
      <c r="O41">
        <f t="shared" si="3"/>
        <v>360.32</v>
      </c>
      <c r="P41">
        <f t="shared" si="2"/>
        <v>0</v>
      </c>
      <c r="Q41">
        <v>8.4210526315789469</v>
      </c>
      <c r="R41">
        <f t="shared" si="4"/>
        <v>55.263157894736779</v>
      </c>
      <c r="S41" s="11">
        <f t="shared" si="5"/>
        <v>165.78947368421035</v>
      </c>
    </row>
    <row r="42" spans="1:19" x14ac:dyDescent="0.25">
      <c r="A42" s="8">
        <v>41339</v>
      </c>
      <c r="B42" s="9"/>
      <c r="C42" s="9"/>
      <c r="D42" s="10">
        <f>IF(ISBLANK(C43),SUM(D43,Consumption(ROW(D42),COLUMN(D42))),$C$1)</f>
        <v>68.846153846153854</v>
      </c>
      <c r="E42" s="11">
        <f t="shared" si="6"/>
        <v>206.53846153846155</v>
      </c>
      <c r="M42" s="23"/>
      <c r="N42">
        <f t="shared" si="7"/>
        <v>0</v>
      </c>
      <c r="O42">
        <f t="shared" si="3"/>
        <v>360.32</v>
      </c>
      <c r="P42">
        <f t="shared" si="2"/>
        <v>0</v>
      </c>
      <c r="Q42">
        <v>8.4210526315789469</v>
      </c>
      <c r="R42">
        <f t="shared" si="4"/>
        <v>46.842105263157833</v>
      </c>
      <c r="S42" s="11">
        <f t="shared" si="5"/>
        <v>140.5263157894735</v>
      </c>
    </row>
    <row r="43" spans="1:19" x14ac:dyDescent="0.25">
      <c r="A43" s="8">
        <v>41340</v>
      </c>
      <c r="B43" s="9"/>
      <c r="C43" s="9"/>
      <c r="D43" s="10">
        <f>IF(ISBLANK(C44),SUM(D44,Consumption(ROW(D43),COLUMN(D43))),$C$1)</f>
        <v>62.307692307692321</v>
      </c>
      <c r="E43" s="11">
        <f t="shared" si="6"/>
        <v>186.92307692307696</v>
      </c>
      <c r="M43" s="23"/>
      <c r="N43">
        <f t="shared" si="7"/>
        <v>0</v>
      </c>
      <c r="O43">
        <f t="shared" si="3"/>
        <v>360.32</v>
      </c>
      <c r="P43">
        <f t="shared" si="2"/>
        <v>0</v>
      </c>
      <c r="Q43">
        <v>8.4210526315789469</v>
      </c>
      <c r="R43">
        <f t="shared" si="4"/>
        <v>38.421052631578888</v>
      </c>
      <c r="S43" s="11">
        <f t="shared" si="5"/>
        <v>115.26315789473666</v>
      </c>
    </row>
    <row r="44" spans="1:19" x14ac:dyDescent="0.25">
      <c r="A44" s="8">
        <v>41341</v>
      </c>
      <c r="B44" s="9"/>
      <c r="C44" s="9"/>
      <c r="D44" s="10">
        <f>IF(ISBLANK(C45),SUM(D45,Consumption(ROW(D44),COLUMN(D44))),$C$1)</f>
        <v>55.769230769230781</v>
      </c>
      <c r="E44" s="11">
        <f t="shared" si="6"/>
        <v>167.30769230769235</v>
      </c>
      <c r="M44" s="23"/>
      <c r="N44">
        <f t="shared" si="7"/>
        <v>0</v>
      </c>
      <c r="O44">
        <f t="shared" si="3"/>
        <v>360.32</v>
      </c>
      <c r="P44">
        <f t="shared" si="2"/>
        <v>0</v>
      </c>
      <c r="Q44">
        <v>8.4210526315789469</v>
      </c>
      <c r="R44">
        <f t="shared" si="4"/>
        <v>29.999999999999943</v>
      </c>
      <c r="S44" s="11">
        <f t="shared" si="5"/>
        <v>89.999999999999829</v>
      </c>
    </row>
    <row r="45" spans="1:19" x14ac:dyDescent="0.25">
      <c r="A45" s="8">
        <v>41342</v>
      </c>
      <c r="B45" s="9"/>
      <c r="C45" s="9"/>
      <c r="D45" s="10">
        <f>IF(ISBLANK(C46),SUM(D46,Consumption(ROW(D45),COLUMN(D45))),$C$1)</f>
        <v>49.230769230769241</v>
      </c>
      <c r="E45" s="11">
        <f t="shared" si="6"/>
        <v>147.69230769230774</v>
      </c>
      <c r="M45" s="23">
        <v>4</v>
      </c>
      <c r="N45">
        <f t="shared" si="7"/>
        <v>4</v>
      </c>
      <c r="O45">
        <f t="shared" si="3"/>
        <v>329.28800000000001</v>
      </c>
      <c r="P45">
        <f t="shared" si="2"/>
        <v>180</v>
      </c>
      <c r="Q45">
        <v>26.666666666666668</v>
      </c>
      <c r="R45">
        <f t="shared" si="4"/>
        <v>183.33333333333329</v>
      </c>
      <c r="S45" s="11">
        <f t="shared" si="5"/>
        <v>59821.840000000004</v>
      </c>
    </row>
    <row r="46" spans="1:19" x14ac:dyDescent="0.25">
      <c r="A46" s="8">
        <v>41343</v>
      </c>
      <c r="B46" s="9"/>
      <c r="C46" s="9"/>
      <c r="D46" s="10">
        <f>IF(ISBLANK(C47),SUM(D47,Consumption(ROW(D46),COLUMN(D46))),$C$1)</f>
        <v>42.692307692307701</v>
      </c>
      <c r="E46" s="11">
        <f t="shared" si="6"/>
        <v>128.07692307692309</v>
      </c>
      <c r="M46" s="23"/>
      <c r="N46">
        <f t="shared" si="7"/>
        <v>0</v>
      </c>
      <c r="O46">
        <f t="shared" si="3"/>
        <v>360.32</v>
      </c>
      <c r="P46">
        <f t="shared" si="2"/>
        <v>0</v>
      </c>
      <c r="Q46">
        <v>26.666666666666668</v>
      </c>
      <c r="R46">
        <f t="shared" si="4"/>
        <v>156.66666666666663</v>
      </c>
      <c r="S46" s="11">
        <f t="shared" si="5"/>
        <v>469.99999999999989</v>
      </c>
    </row>
    <row r="47" spans="1:19" x14ac:dyDescent="0.25">
      <c r="A47" s="8">
        <v>41344</v>
      </c>
      <c r="B47" s="9"/>
      <c r="C47" s="9"/>
      <c r="D47" s="10">
        <f>IF(ISBLANK(C48),SUM(D48,Consumption(ROW(D47),COLUMN(D47))),$C$1)</f>
        <v>36.15384615384616</v>
      </c>
      <c r="E47" s="11">
        <f t="shared" si="6"/>
        <v>108.46153846153848</v>
      </c>
      <c r="M47" s="23"/>
      <c r="N47">
        <f t="shared" si="7"/>
        <v>0</v>
      </c>
      <c r="O47">
        <f t="shared" si="3"/>
        <v>360.32</v>
      </c>
      <c r="P47">
        <f t="shared" si="2"/>
        <v>0</v>
      </c>
      <c r="Q47">
        <v>26.666666666666668</v>
      </c>
      <c r="R47">
        <f t="shared" si="4"/>
        <v>129.99999999999997</v>
      </c>
      <c r="S47" s="11">
        <f t="shared" si="5"/>
        <v>389.99999999999989</v>
      </c>
    </row>
    <row r="48" spans="1:19" x14ac:dyDescent="0.25">
      <c r="A48" s="8">
        <v>41345</v>
      </c>
      <c r="B48" s="9"/>
      <c r="C48" s="9"/>
      <c r="D48" s="10">
        <f>IF(ISBLANK(C49),SUM(D49,Consumption(ROW(D48),COLUMN(D48))),$C$1)</f>
        <v>29.61538461538462</v>
      </c>
      <c r="E48" s="11">
        <f t="shared" si="6"/>
        <v>88.846153846153868</v>
      </c>
      <c r="M48" s="23"/>
      <c r="N48">
        <f t="shared" si="7"/>
        <v>0</v>
      </c>
      <c r="O48">
        <f t="shared" si="3"/>
        <v>360.32</v>
      </c>
      <c r="P48">
        <f t="shared" si="2"/>
        <v>0</v>
      </c>
      <c r="Q48">
        <v>10</v>
      </c>
      <c r="R48">
        <f t="shared" si="4"/>
        <v>119.99999999999997</v>
      </c>
      <c r="S48" s="11">
        <f t="shared" si="5"/>
        <v>359.99999999999989</v>
      </c>
    </row>
    <row r="49" spans="1:19" x14ac:dyDescent="0.25">
      <c r="A49" s="8">
        <v>41346</v>
      </c>
      <c r="B49" s="9"/>
      <c r="C49" s="9"/>
      <c r="D49" s="10">
        <f>IF(ISBLANK(C50),SUM(D50,Consumption(ROW(D49),COLUMN(D49))),$C$1)</f>
        <v>23.07692307692308</v>
      </c>
      <c r="E49" s="11">
        <f t="shared" si="6"/>
        <v>69.230769230769241</v>
      </c>
      <c r="M49" s="23"/>
      <c r="N49">
        <f t="shared" si="7"/>
        <v>0</v>
      </c>
      <c r="O49">
        <f t="shared" si="3"/>
        <v>360.32</v>
      </c>
      <c r="P49">
        <f t="shared" si="2"/>
        <v>0</v>
      </c>
      <c r="Q49">
        <v>10</v>
      </c>
      <c r="R49">
        <f t="shared" si="4"/>
        <v>109.99999999999997</v>
      </c>
      <c r="S49" s="11">
        <f t="shared" si="5"/>
        <v>329.99999999999989</v>
      </c>
    </row>
    <row r="50" spans="1:19" x14ac:dyDescent="0.25">
      <c r="A50" s="8">
        <v>41347</v>
      </c>
      <c r="B50" s="9"/>
      <c r="C50" s="9"/>
      <c r="D50" s="10">
        <f>IF(ISBLANK(C51),SUM(D51,Consumption(ROW(D50),COLUMN(D50))),$C$1)</f>
        <v>16.53846153846154</v>
      </c>
      <c r="E50" s="11">
        <f t="shared" si="6"/>
        <v>49.61538461538462</v>
      </c>
      <c r="M50" s="23"/>
      <c r="N50">
        <f t="shared" si="7"/>
        <v>0</v>
      </c>
      <c r="O50">
        <f t="shared" si="3"/>
        <v>360.32</v>
      </c>
      <c r="P50">
        <f t="shared" si="2"/>
        <v>0</v>
      </c>
      <c r="Q50">
        <v>10</v>
      </c>
      <c r="R50">
        <f t="shared" si="4"/>
        <v>99.999999999999972</v>
      </c>
      <c r="S50" s="11">
        <f t="shared" si="5"/>
        <v>299.99999999999989</v>
      </c>
    </row>
    <row r="51" spans="1:19" x14ac:dyDescent="0.25">
      <c r="A51" s="8">
        <v>41348</v>
      </c>
      <c r="B51" s="9"/>
      <c r="C51" s="9"/>
      <c r="D51" s="10">
        <f>IF(ISBLANK(C52),SUM(D52,Consumption(ROW(D51),COLUMN(D51))),$C$1)</f>
        <v>10</v>
      </c>
      <c r="E51" s="11">
        <f t="shared" si="6"/>
        <v>30</v>
      </c>
      <c r="M51" s="23"/>
      <c r="N51">
        <f t="shared" si="7"/>
        <v>0</v>
      </c>
      <c r="O51">
        <f t="shared" si="3"/>
        <v>360.32</v>
      </c>
      <c r="P51">
        <f t="shared" si="2"/>
        <v>0</v>
      </c>
      <c r="Q51">
        <v>10</v>
      </c>
      <c r="R51">
        <f t="shared" si="4"/>
        <v>89.999999999999972</v>
      </c>
      <c r="S51" s="11">
        <f t="shared" si="5"/>
        <v>269.99999999999989</v>
      </c>
    </row>
    <row r="52" spans="1:19" x14ac:dyDescent="0.25">
      <c r="A52" s="8">
        <v>41349</v>
      </c>
      <c r="B52" s="9">
        <v>332</v>
      </c>
      <c r="C52" s="9">
        <v>180</v>
      </c>
      <c r="D52" s="10">
        <f>IF(ISBLANK(C53),SUM(D53,Consumption(ROW(D52),COLUMN(D52))),$C$1)</f>
        <v>167.85714285714283</v>
      </c>
      <c r="E52" s="11">
        <f t="shared" si="6"/>
        <v>60263.571428571428</v>
      </c>
      <c r="M52" s="23"/>
      <c r="N52">
        <f t="shared" si="7"/>
        <v>0</v>
      </c>
      <c r="O52">
        <f t="shared" si="3"/>
        <v>360.32</v>
      </c>
      <c r="P52">
        <f t="shared" si="2"/>
        <v>0</v>
      </c>
      <c r="Q52">
        <v>11.428571428571429</v>
      </c>
      <c r="R52">
        <f t="shared" si="4"/>
        <v>78.571428571428541</v>
      </c>
      <c r="S52" s="11">
        <f t="shared" si="5"/>
        <v>235.71428571428561</v>
      </c>
    </row>
    <row r="53" spans="1:19" x14ac:dyDescent="0.25">
      <c r="A53" s="8">
        <v>41350</v>
      </c>
      <c r="B53" s="9"/>
      <c r="C53" s="9"/>
      <c r="D53" s="10">
        <f>IF(ISBLANK(C54),SUM(D54,Consumption(ROW(D53),COLUMN(D53))),$C$1)</f>
        <v>155.71428571428569</v>
      </c>
      <c r="E53" s="11">
        <f t="shared" si="6"/>
        <v>467.14285714285711</v>
      </c>
      <c r="M53" s="23"/>
      <c r="N53">
        <f t="shared" si="7"/>
        <v>0</v>
      </c>
      <c r="O53">
        <f t="shared" si="3"/>
        <v>360.32</v>
      </c>
      <c r="P53">
        <f t="shared" si="2"/>
        <v>0</v>
      </c>
      <c r="Q53">
        <v>11.428571428571429</v>
      </c>
      <c r="R53">
        <f t="shared" si="4"/>
        <v>67.14285714285711</v>
      </c>
      <c r="S53" s="11">
        <f t="shared" si="5"/>
        <v>201.42857142857133</v>
      </c>
    </row>
    <row r="54" spans="1:19" x14ac:dyDescent="0.25">
      <c r="A54" s="8">
        <v>41351</v>
      </c>
      <c r="B54" s="9"/>
      <c r="C54" s="9"/>
      <c r="D54" s="10">
        <f>IF(ISBLANK(C55),SUM(D55,Consumption(ROW(D54),COLUMN(D54))),$C$1)</f>
        <v>143.57142857142856</v>
      </c>
      <c r="E54" s="11">
        <f t="shared" si="6"/>
        <v>430.71428571428567</v>
      </c>
      <c r="M54" s="23"/>
      <c r="N54">
        <f t="shared" si="7"/>
        <v>0</v>
      </c>
      <c r="O54">
        <f t="shared" si="3"/>
        <v>360.32</v>
      </c>
      <c r="P54">
        <f t="shared" si="2"/>
        <v>0</v>
      </c>
      <c r="Q54">
        <v>11.428571428571429</v>
      </c>
      <c r="R54">
        <f t="shared" si="4"/>
        <v>55.71428571428568</v>
      </c>
      <c r="S54" s="11">
        <f t="shared" si="5"/>
        <v>167.14285714285705</v>
      </c>
    </row>
    <row r="55" spans="1:19" x14ac:dyDescent="0.25">
      <c r="A55" s="8">
        <v>41352</v>
      </c>
      <c r="B55" s="9"/>
      <c r="C55" s="9"/>
      <c r="D55" s="10">
        <f>IF(ISBLANK(C56),SUM(D56,Consumption(ROW(D55),COLUMN(D55))),$C$1)</f>
        <v>131.42857142857142</v>
      </c>
      <c r="E55" s="11">
        <f t="shared" si="6"/>
        <v>394.28571428571422</v>
      </c>
      <c r="M55" s="23"/>
      <c r="N55">
        <f t="shared" si="7"/>
        <v>0</v>
      </c>
      <c r="O55">
        <f t="shared" si="3"/>
        <v>360.32</v>
      </c>
      <c r="P55">
        <f t="shared" si="2"/>
        <v>0</v>
      </c>
      <c r="Q55">
        <v>11.428571428571429</v>
      </c>
      <c r="R55">
        <f t="shared" si="4"/>
        <v>44.285714285714249</v>
      </c>
      <c r="S55" s="11">
        <f t="shared" si="5"/>
        <v>132.85714285714275</v>
      </c>
    </row>
    <row r="56" spans="1:19" x14ac:dyDescent="0.25">
      <c r="A56" s="8">
        <v>41353</v>
      </c>
      <c r="B56" s="9"/>
      <c r="C56" s="9"/>
      <c r="D56" s="10">
        <f>IF(ISBLANK(C57),SUM(D57,Consumption(ROW(D56),COLUMN(D56))),$C$1)</f>
        <v>119.28571428571426</v>
      </c>
      <c r="E56" s="11">
        <f t="shared" si="6"/>
        <v>357.85714285714278</v>
      </c>
      <c r="M56" s="23"/>
      <c r="N56">
        <f t="shared" si="7"/>
        <v>0</v>
      </c>
      <c r="O56">
        <f t="shared" si="3"/>
        <v>360.32</v>
      </c>
      <c r="P56">
        <f t="shared" si="2"/>
        <v>0</v>
      </c>
      <c r="Q56">
        <v>11.428571428571429</v>
      </c>
      <c r="R56">
        <f t="shared" si="4"/>
        <v>32.857142857142819</v>
      </c>
      <c r="S56" s="11">
        <f t="shared" si="5"/>
        <v>98.571428571428456</v>
      </c>
    </row>
    <row r="57" spans="1:19" x14ac:dyDescent="0.25">
      <c r="A57" s="8">
        <v>41354</v>
      </c>
      <c r="B57" s="9"/>
      <c r="C57" s="9"/>
      <c r="D57" s="10">
        <f>IF(ISBLANK(C58),SUM(D58,Consumption(ROW(D57),COLUMN(D57))),$C$1)</f>
        <v>107.14285714285712</v>
      </c>
      <c r="E57" s="11">
        <f t="shared" si="6"/>
        <v>321.42857142857139</v>
      </c>
      <c r="M57" s="23">
        <v>4</v>
      </c>
      <c r="N57">
        <f t="shared" si="7"/>
        <v>4</v>
      </c>
      <c r="O57">
        <f t="shared" si="3"/>
        <v>329.28800000000001</v>
      </c>
      <c r="P57">
        <f t="shared" si="2"/>
        <v>180</v>
      </c>
      <c r="Q57">
        <v>11.428571428571429</v>
      </c>
      <c r="R57">
        <f t="shared" si="4"/>
        <v>201.42857142857142</v>
      </c>
      <c r="S57" s="11">
        <f t="shared" si="5"/>
        <v>59876.125714285721</v>
      </c>
    </row>
    <row r="58" spans="1:19" x14ac:dyDescent="0.25">
      <c r="A58" s="8">
        <v>41355</v>
      </c>
      <c r="B58" s="9"/>
      <c r="C58" s="9"/>
      <c r="D58" s="10">
        <f>IF(ISBLANK(C59),SUM(D59,Consumption(ROW(D58),COLUMN(D58))),$C$1)</f>
        <v>94.999999999999986</v>
      </c>
      <c r="E58" s="11">
        <f t="shared" si="6"/>
        <v>284.99999999999994</v>
      </c>
      <c r="M58" s="23"/>
      <c r="N58">
        <f t="shared" si="7"/>
        <v>0</v>
      </c>
      <c r="O58">
        <f t="shared" si="3"/>
        <v>360.32</v>
      </c>
      <c r="P58">
        <f t="shared" si="2"/>
        <v>0</v>
      </c>
      <c r="Q58">
        <v>11.428571428571429</v>
      </c>
      <c r="R58">
        <f t="shared" si="4"/>
        <v>190</v>
      </c>
      <c r="S58" s="11">
        <f t="shared" si="5"/>
        <v>570</v>
      </c>
    </row>
    <row r="59" spans="1:19" x14ac:dyDescent="0.25">
      <c r="A59" s="8">
        <v>41356</v>
      </c>
      <c r="B59" s="9"/>
      <c r="C59" s="9"/>
      <c r="D59" s="10">
        <f>IF(ISBLANK(C60),SUM(D60,Consumption(ROW(D59),COLUMN(D59))),$C$1)</f>
        <v>82.857142857142847</v>
      </c>
      <c r="E59" s="11">
        <f t="shared" si="6"/>
        <v>248.57142857142856</v>
      </c>
      <c r="M59" s="23"/>
      <c r="N59">
        <f t="shared" si="7"/>
        <v>0</v>
      </c>
      <c r="O59">
        <f t="shared" si="3"/>
        <v>360.32</v>
      </c>
      <c r="P59">
        <f t="shared" si="2"/>
        <v>0</v>
      </c>
      <c r="Q59">
        <v>11.428571428571429</v>
      </c>
      <c r="R59">
        <f t="shared" si="4"/>
        <v>178.57142857142858</v>
      </c>
      <c r="S59" s="11">
        <f t="shared" si="5"/>
        <v>535.71428571428578</v>
      </c>
    </row>
    <row r="60" spans="1:19" x14ac:dyDescent="0.25">
      <c r="A60" s="8">
        <v>41357</v>
      </c>
      <c r="B60" s="9"/>
      <c r="C60" s="9"/>
      <c r="D60" s="10">
        <f>IF(ISBLANK(C61),SUM(D61,Consumption(ROW(D60),COLUMN(D60))),$C$1)</f>
        <v>70.714285714285708</v>
      </c>
      <c r="E60" s="11">
        <f t="shared" si="6"/>
        <v>212.14285714285711</v>
      </c>
      <c r="M60" s="23"/>
      <c r="N60">
        <f t="shared" si="7"/>
        <v>0</v>
      </c>
      <c r="O60">
        <f t="shared" si="3"/>
        <v>360.32</v>
      </c>
      <c r="P60">
        <f t="shared" si="2"/>
        <v>0</v>
      </c>
      <c r="Q60">
        <v>11.428571428571429</v>
      </c>
      <c r="R60">
        <f t="shared" si="4"/>
        <v>167.14285714285717</v>
      </c>
      <c r="S60" s="11">
        <f t="shared" si="5"/>
        <v>501.4285714285715</v>
      </c>
    </row>
    <row r="61" spans="1:19" x14ac:dyDescent="0.25">
      <c r="A61" s="8">
        <v>41358</v>
      </c>
      <c r="B61" s="9"/>
      <c r="C61" s="9"/>
      <c r="D61" s="10">
        <f>IF(ISBLANK(C62),SUM(D62,Consumption(ROW(D61),COLUMN(D61))),$C$1)</f>
        <v>58.571428571428569</v>
      </c>
      <c r="E61" s="11">
        <f t="shared" si="6"/>
        <v>175.71428571428572</v>
      </c>
      <c r="M61" s="23"/>
      <c r="N61">
        <f t="shared" si="7"/>
        <v>0</v>
      </c>
      <c r="O61">
        <f t="shared" si="3"/>
        <v>360.32</v>
      </c>
      <c r="P61">
        <f t="shared" si="2"/>
        <v>0</v>
      </c>
      <c r="Q61">
        <v>11.428571428571429</v>
      </c>
      <c r="R61">
        <f t="shared" si="4"/>
        <v>155.71428571428575</v>
      </c>
      <c r="S61" s="11">
        <f t="shared" si="5"/>
        <v>467.14285714285722</v>
      </c>
    </row>
    <row r="62" spans="1:19" x14ac:dyDescent="0.25">
      <c r="A62" s="8">
        <v>41359</v>
      </c>
      <c r="B62" s="9"/>
      <c r="C62" s="9"/>
      <c r="D62" s="10">
        <f>IF(ISBLANK(C63),SUM(D63,Consumption(ROW(D62),COLUMN(D62))),$C$1)</f>
        <v>46.428571428571431</v>
      </c>
      <c r="E62" s="11">
        <f t="shared" si="6"/>
        <v>139.28571428571428</v>
      </c>
      <c r="M62" s="23"/>
      <c r="N62">
        <f t="shared" si="7"/>
        <v>0</v>
      </c>
      <c r="O62">
        <f t="shared" si="3"/>
        <v>360.32</v>
      </c>
      <c r="P62">
        <f t="shared" si="2"/>
        <v>0</v>
      </c>
      <c r="Q62">
        <v>11.428571428571429</v>
      </c>
      <c r="R62">
        <f t="shared" si="4"/>
        <v>144.28571428571433</v>
      </c>
      <c r="S62" s="11">
        <f t="shared" si="5"/>
        <v>432.857142857143</v>
      </c>
    </row>
    <row r="63" spans="1:19" x14ac:dyDescent="0.25">
      <c r="A63" s="8">
        <v>41360</v>
      </c>
      <c r="B63" s="9"/>
      <c r="C63" s="9"/>
      <c r="D63" s="10">
        <f>IF(ISBLANK(C64),SUM(D64,Consumption(ROW(D63),COLUMN(D63))),$C$1)</f>
        <v>34.285714285714285</v>
      </c>
      <c r="E63" s="11">
        <f t="shared" si="6"/>
        <v>102.85714285714286</v>
      </c>
      <c r="M63" s="23"/>
      <c r="N63">
        <f t="shared" si="7"/>
        <v>0</v>
      </c>
      <c r="O63">
        <f t="shared" si="3"/>
        <v>360.32</v>
      </c>
      <c r="P63">
        <f t="shared" si="2"/>
        <v>0</v>
      </c>
      <c r="Q63">
        <v>11.428571428571429</v>
      </c>
      <c r="R63">
        <f t="shared" si="4"/>
        <v>132.85714285714292</v>
      </c>
      <c r="S63" s="11">
        <f t="shared" si="5"/>
        <v>398.57142857142878</v>
      </c>
    </row>
    <row r="64" spans="1:19" x14ac:dyDescent="0.25">
      <c r="A64" s="8">
        <v>41361</v>
      </c>
      <c r="B64" s="9"/>
      <c r="C64" s="9"/>
      <c r="D64" s="10">
        <f>IF(ISBLANK(C65),SUM(D65,Consumption(ROW(D64),COLUMN(D64))),$C$1)</f>
        <v>22.142857142857142</v>
      </c>
      <c r="E64" s="11">
        <f t="shared" si="6"/>
        <v>66.428571428571431</v>
      </c>
      <c r="M64" s="23"/>
      <c r="N64">
        <f t="shared" si="7"/>
        <v>0</v>
      </c>
      <c r="O64">
        <f t="shared" si="3"/>
        <v>360.32</v>
      </c>
      <c r="P64">
        <f t="shared" si="2"/>
        <v>0</v>
      </c>
      <c r="Q64">
        <v>11.428571428571429</v>
      </c>
      <c r="R64">
        <f t="shared" si="4"/>
        <v>121.42857142857149</v>
      </c>
      <c r="S64" s="11">
        <f t="shared" si="5"/>
        <v>364.28571428571445</v>
      </c>
    </row>
    <row r="65" spans="1:19" x14ac:dyDescent="0.25">
      <c r="A65" s="8">
        <v>41362</v>
      </c>
      <c r="B65" s="9"/>
      <c r="C65" s="9"/>
      <c r="D65" s="10">
        <f>IF(ISBLANK(C66),SUM(D66,Consumption(ROW(D65),COLUMN(D65))),$C$1)</f>
        <v>10</v>
      </c>
      <c r="E65" s="11">
        <f t="shared" si="6"/>
        <v>30</v>
      </c>
      <c r="M65" s="23"/>
      <c r="N65">
        <f t="shared" si="7"/>
        <v>0</v>
      </c>
      <c r="O65">
        <f t="shared" si="3"/>
        <v>360.32</v>
      </c>
      <c r="P65">
        <f t="shared" si="2"/>
        <v>0</v>
      </c>
      <c r="Q65">
        <v>11.428571428571429</v>
      </c>
      <c r="R65">
        <f t="shared" si="4"/>
        <v>110.00000000000006</v>
      </c>
      <c r="S65" s="11">
        <f t="shared" si="5"/>
        <v>330.00000000000017</v>
      </c>
    </row>
    <row r="66" spans="1:19" x14ac:dyDescent="0.25">
      <c r="A66" s="8">
        <v>41363</v>
      </c>
      <c r="B66" s="9">
        <v>350</v>
      </c>
      <c r="C66" s="9">
        <v>80</v>
      </c>
      <c r="D66" s="10">
        <f>IF(ISBLANK(C67),SUM(D67,Consumption(ROW(D66),COLUMN(D66))),$C$1)</f>
        <v>75</v>
      </c>
      <c r="E66" s="11">
        <f t="shared" si="6"/>
        <v>28225</v>
      </c>
      <c r="M66" s="23"/>
      <c r="N66">
        <f t="shared" si="7"/>
        <v>0</v>
      </c>
      <c r="O66">
        <f t="shared" si="3"/>
        <v>360.32</v>
      </c>
      <c r="P66">
        <f t="shared" si="2"/>
        <v>0</v>
      </c>
      <c r="Q66">
        <v>4.2857142857142856</v>
      </c>
      <c r="R66">
        <f t="shared" si="4"/>
        <v>105.71428571428577</v>
      </c>
      <c r="S66" s="11">
        <f t="shared" si="5"/>
        <v>317.14285714285728</v>
      </c>
    </row>
    <row r="67" spans="1:19" x14ac:dyDescent="0.25">
      <c r="A67" s="8">
        <v>41364</v>
      </c>
      <c r="B67" s="9"/>
      <c r="C67" s="9"/>
      <c r="D67" s="10">
        <f>IF(ISBLANK(C68),SUM(D68,Consumption(ROW(D67),COLUMN(D67))),$C$1)</f>
        <v>70</v>
      </c>
      <c r="E67" s="11">
        <f t="shared" ref="E67:E95" si="8">$E$1*D67+B67*C67</f>
        <v>210</v>
      </c>
      <c r="M67" s="23"/>
      <c r="N67">
        <f t="shared" ref="N67:N95" si="9">SUM(M67:M67)</f>
        <v>0</v>
      </c>
      <c r="O67">
        <f t="shared" si="3"/>
        <v>360.32</v>
      </c>
      <c r="P67">
        <f t="shared" si="2"/>
        <v>0</v>
      </c>
      <c r="Q67">
        <v>4.2857142857142856</v>
      </c>
      <c r="R67">
        <f t="shared" si="4"/>
        <v>101.42857142857147</v>
      </c>
      <c r="S67" s="11">
        <f t="shared" si="5"/>
        <v>304.28571428571445</v>
      </c>
    </row>
    <row r="68" spans="1:19" x14ac:dyDescent="0.25">
      <c r="A68" s="8">
        <v>41365</v>
      </c>
      <c r="B68" s="9"/>
      <c r="C68" s="9"/>
      <c r="D68" s="10">
        <f>IF(ISBLANK(C69),SUM(D69,Consumption(ROW(D68),COLUMN(D68))),$C$1)</f>
        <v>65</v>
      </c>
      <c r="E68" s="11">
        <f t="shared" si="8"/>
        <v>195</v>
      </c>
      <c r="M68" s="23"/>
      <c r="N68">
        <f t="shared" si="9"/>
        <v>0</v>
      </c>
      <c r="O68">
        <f t="shared" si="3"/>
        <v>360.32</v>
      </c>
      <c r="P68">
        <f t="shared" ref="P68:P95" si="10">LOOKUP(N68,$G$36:$H$41)</f>
        <v>0</v>
      </c>
      <c r="Q68">
        <v>4.2857142857142856</v>
      </c>
      <c r="R68">
        <f t="shared" si="4"/>
        <v>97.142857142857181</v>
      </c>
      <c r="S68" s="11">
        <f t="shared" si="5"/>
        <v>291.42857142857156</v>
      </c>
    </row>
    <row r="69" spans="1:19" x14ac:dyDescent="0.25">
      <c r="A69" s="8">
        <v>41366</v>
      </c>
      <c r="B69" s="9"/>
      <c r="C69" s="9"/>
      <c r="D69" s="10">
        <f>IF(ISBLANK(C70),SUM(D70,Consumption(ROW(D69),COLUMN(D69))),$C$1)</f>
        <v>60</v>
      </c>
      <c r="E69" s="11">
        <f t="shared" si="8"/>
        <v>180</v>
      </c>
      <c r="M69" s="23"/>
      <c r="N69">
        <f t="shared" si="9"/>
        <v>0</v>
      </c>
      <c r="O69">
        <f t="shared" ref="O69:O95" si="11">(P69*P69*$G$33+P69*$H$33+$I$33)</f>
        <v>360.32</v>
      </c>
      <c r="P69">
        <f t="shared" si="10"/>
        <v>0</v>
      </c>
      <c r="Q69">
        <v>4.2857142857142856</v>
      </c>
      <c r="R69">
        <f t="shared" ref="R69:R95" si="12">R68+P69-Q69</f>
        <v>92.85714285714289</v>
      </c>
      <c r="S69" s="11">
        <f t="shared" ref="S69:S95" si="13">$S$1*R69+P69*O69</f>
        <v>278.57142857142867</v>
      </c>
    </row>
    <row r="70" spans="1:19" x14ac:dyDescent="0.25">
      <c r="A70" s="8">
        <v>41367</v>
      </c>
      <c r="B70" s="9"/>
      <c r="C70" s="9"/>
      <c r="D70" s="10">
        <f>IF(ISBLANK(C71),SUM(D71,Consumption(ROW(D70),COLUMN(D70))),$C$1)</f>
        <v>55</v>
      </c>
      <c r="E70" s="11">
        <f t="shared" si="8"/>
        <v>165</v>
      </c>
      <c r="M70" s="23"/>
      <c r="N70">
        <f t="shared" si="9"/>
        <v>0</v>
      </c>
      <c r="O70">
        <f t="shared" si="11"/>
        <v>360.32</v>
      </c>
      <c r="P70">
        <f t="shared" si="10"/>
        <v>0</v>
      </c>
      <c r="Q70">
        <v>4.2857142857142856</v>
      </c>
      <c r="R70">
        <f t="shared" si="12"/>
        <v>88.571428571428598</v>
      </c>
      <c r="S70" s="11">
        <f t="shared" si="13"/>
        <v>265.71428571428578</v>
      </c>
    </row>
    <row r="71" spans="1:19" x14ac:dyDescent="0.25">
      <c r="A71" s="8">
        <v>41368</v>
      </c>
      <c r="B71" s="9"/>
      <c r="C71" s="9"/>
      <c r="D71" s="10">
        <f>IF(ISBLANK(C72),SUM(D72,Consumption(ROW(D71),COLUMN(D71))),$C$1)</f>
        <v>50</v>
      </c>
      <c r="E71" s="11">
        <f t="shared" si="8"/>
        <v>150</v>
      </c>
      <c r="M71" s="23"/>
      <c r="N71">
        <f t="shared" si="9"/>
        <v>0</v>
      </c>
      <c r="O71">
        <f t="shared" si="11"/>
        <v>360.32</v>
      </c>
      <c r="P71">
        <f t="shared" si="10"/>
        <v>0</v>
      </c>
      <c r="Q71">
        <v>4.2857142857142856</v>
      </c>
      <c r="R71">
        <f t="shared" si="12"/>
        <v>84.285714285714306</v>
      </c>
      <c r="S71" s="11">
        <f t="shared" si="13"/>
        <v>252.85714285714292</v>
      </c>
    </row>
    <row r="72" spans="1:19" x14ac:dyDescent="0.25">
      <c r="A72" s="8">
        <v>41369</v>
      </c>
      <c r="B72" s="9"/>
      <c r="C72" s="9"/>
      <c r="D72" s="10">
        <f>IF(ISBLANK(C73),SUM(D73,Consumption(ROW(D72),COLUMN(D72))),$C$1)</f>
        <v>45</v>
      </c>
      <c r="E72" s="11">
        <f t="shared" si="8"/>
        <v>135</v>
      </c>
      <c r="M72" s="23"/>
      <c r="N72">
        <f t="shared" si="9"/>
        <v>0</v>
      </c>
      <c r="O72">
        <f t="shared" si="11"/>
        <v>360.32</v>
      </c>
      <c r="P72">
        <f t="shared" si="10"/>
        <v>0</v>
      </c>
      <c r="Q72">
        <v>4.2857142857142856</v>
      </c>
      <c r="R72">
        <f t="shared" si="12"/>
        <v>80.000000000000014</v>
      </c>
      <c r="S72" s="11">
        <f t="shared" si="13"/>
        <v>240.00000000000006</v>
      </c>
    </row>
    <row r="73" spans="1:19" x14ac:dyDescent="0.25">
      <c r="A73" s="8">
        <v>41370</v>
      </c>
      <c r="B73" s="9"/>
      <c r="C73" s="9"/>
      <c r="D73" s="10">
        <f>IF(ISBLANK(C74),SUM(D74,Consumption(ROW(D73),COLUMN(D73))),$C$1)</f>
        <v>40</v>
      </c>
      <c r="E73" s="11">
        <f t="shared" si="8"/>
        <v>120</v>
      </c>
      <c r="M73" s="23"/>
      <c r="N73">
        <f t="shared" si="9"/>
        <v>0</v>
      </c>
      <c r="O73">
        <f t="shared" si="11"/>
        <v>360.32</v>
      </c>
      <c r="P73">
        <f t="shared" si="10"/>
        <v>0</v>
      </c>
      <c r="Q73">
        <v>4.2857142857142856</v>
      </c>
      <c r="R73">
        <f t="shared" si="12"/>
        <v>75.714285714285722</v>
      </c>
      <c r="S73" s="11">
        <f t="shared" si="13"/>
        <v>227.14285714285717</v>
      </c>
    </row>
    <row r="74" spans="1:19" x14ac:dyDescent="0.25">
      <c r="A74" s="8">
        <v>41371</v>
      </c>
      <c r="B74" s="9"/>
      <c r="C74" s="9"/>
      <c r="D74" s="10">
        <f>IF(ISBLANK(C75),SUM(D75,Consumption(ROW(D74),COLUMN(D74))),$C$1)</f>
        <v>35</v>
      </c>
      <c r="E74" s="11">
        <f t="shared" si="8"/>
        <v>105</v>
      </c>
      <c r="M74" s="23"/>
      <c r="N74">
        <f t="shared" si="9"/>
        <v>0</v>
      </c>
      <c r="O74">
        <f t="shared" si="11"/>
        <v>360.32</v>
      </c>
      <c r="P74">
        <f t="shared" si="10"/>
        <v>0</v>
      </c>
      <c r="Q74">
        <v>4.2857142857142856</v>
      </c>
      <c r="R74">
        <f t="shared" si="12"/>
        <v>71.428571428571431</v>
      </c>
      <c r="S74" s="11">
        <f t="shared" si="13"/>
        <v>214.28571428571428</v>
      </c>
    </row>
    <row r="75" spans="1:19" x14ac:dyDescent="0.25">
      <c r="A75" s="8">
        <v>41372</v>
      </c>
      <c r="B75" s="9"/>
      <c r="C75" s="9"/>
      <c r="D75" s="10">
        <f>IF(ISBLANK(C76),SUM(D76,Consumption(ROW(D75),COLUMN(D75))),$C$1)</f>
        <v>30</v>
      </c>
      <c r="E75" s="11">
        <f t="shared" si="8"/>
        <v>90</v>
      </c>
      <c r="M75" s="23"/>
      <c r="N75">
        <f t="shared" si="9"/>
        <v>0</v>
      </c>
      <c r="O75">
        <f t="shared" si="11"/>
        <v>360.32</v>
      </c>
      <c r="P75">
        <f t="shared" si="10"/>
        <v>0</v>
      </c>
      <c r="Q75">
        <v>4.2857142857142856</v>
      </c>
      <c r="R75">
        <f t="shared" si="12"/>
        <v>67.142857142857139</v>
      </c>
      <c r="S75" s="11">
        <f t="shared" si="13"/>
        <v>201.42857142857142</v>
      </c>
    </row>
    <row r="76" spans="1:19" x14ac:dyDescent="0.25">
      <c r="A76" s="8">
        <v>41373</v>
      </c>
      <c r="B76" s="9"/>
      <c r="C76" s="9"/>
      <c r="D76" s="10">
        <f>IF(ISBLANK(C77),SUM(D77,Consumption(ROW(D76),COLUMN(D76))),$C$1)</f>
        <v>25</v>
      </c>
      <c r="E76" s="11">
        <f t="shared" si="8"/>
        <v>75</v>
      </c>
      <c r="M76" s="23"/>
      <c r="N76">
        <f t="shared" si="9"/>
        <v>0</v>
      </c>
      <c r="O76">
        <f t="shared" si="11"/>
        <v>360.32</v>
      </c>
      <c r="P76">
        <f t="shared" si="10"/>
        <v>0</v>
      </c>
      <c r="Q76">
        <v>4.2857142857142856</v>
      </c>
      <c r="R76">
        <f t="shared" si="12"/>
        <v>62.857142857142854</v>
      </c>
      <c r="S76" s="11">
        <f t="shared" si="13"/>
        <v>188.57142857142856</v>
      </c>
    </row>
    <row r="77" spans="1:19" x14ac:dyDescent="0.25">
      <c r="A77" s="8">
        <v>41374</v>
      </c>
      <c r="B77" s="9"/>
      <c r="C77" s="9"/>
      <c r="D77" s="10">
        <f>IF(ISBLANK(C78),SUM(D78,Consumption(ROW(D77),COLUMN(D77))),$C$1)</f>
        <v>20</v>
      </c>
      <c r="E77" s="11">
        <f t="shared" si="8"/>
        <v>60</v>
      </c>
      <c r="M77" s="23"/>
      <c r="N77">
        <f t="shared" si="9"/>
        <v>0</v>
      </c>
      <c r="O77">
        <f t="shared" si="11"/>
        <v>360.32</v>
      </c>
      <c r="P77">
        <f t="shared" si="10"/>
        <v>0</v>
      </c>
      <c r="Q77">
        <v>4.2857142857142856</v>
      </c>
      <c r="R77">
        <f t="shared" si="12"/>
        <v>58.571428571428569</v>
      </c>
      <c r="S77" s="11">
        <f t="shared" si="13"/>
        <v>175.71428571428572</v>
      </c>
    </row>
    <row r="78" spans="1:19" x14ac:dyDescent="0.25">
      <c r="A78" s="8">
        <v>41375</v>
      </c>
      <c r="B78" s="9"/>
      <c r="C78" s="9"/>
      <c r="D78" s="10">
        <f>IF(ISBLANK(C79),SUM(D79,Consumption(ROW(D78),COLUMN(D78))),$C$1)</f>
        <v>15</v>
      </c>
      <c r="E78" s="11">
        <f t="shared" si="8"/>
        <v>45</v>
      </c>
      <c r="M78" s="23"/>
      <c r="N78">
        <f t="shared" si="9"/>
        <v>0</v>
      </c>
      <c r="O78">
        <f t="shared" si="11"/>
        <v>360.32</v>
      </c>
      <c r="P78">
        <f t="shared" si="10"/>
        <v>0</v>
      </c>
      <c r="Q78">
        <v>4.2857142857142856</v>
      </c>
      <c r="R78">
        <f t="shared" si="12"/>
        <v>54.285714285714285</v>
      </c>
      <c r="S78" s="11">
        <f t="shared" si="13"/>
        <v>162.85714285714286</v>
      </c>
    </row>
    <row r="79" spans="1:19" x14ac:dyDescent="0.25">
      <c r="A79" s="8">
        <v>41376</v>
      </c>
      <c r="B79" s="9"/>
      <c r="C79" s="9"/>
      <c r="D79" s="10">
        <f>IF(ISBLANK(C80),SUM(D80,Consumption(ROW(D79),COLUMN(D79))),$C$1)</f>
        <v>10</v>
      </c>
      <c r="E79" s="11">
        <f t="shared" si="8"/>
        <v>30</v>
      </c>
      <c r="M79" s="23"/>
      <c r="N79">
        <f t="shared" si="9"/>
        <v>0</v>
      </c>
      <c r="O79">
        <f t="shared" si="11"/>
        <v>360.32</v>
      </c>
      <c r="P79">
        <f t="shared" si="10"/>
        <v>0</v>
      </c>
      <c r="Q79">
        <v>4.2857142857142856</v>
      </c>
      <c r="R79">
        <f t="shared" si="12"/>
        <v>50</v>
      </c>
      <c r="S79" s="11">
        <f t="shared" si="13"/>
        <v>150</v>
      </c>
    </row>
    <row r="80" spans="1:19" x14ac:dyDescent="0.25">
      <c r="A80" s="8">
        <v>41377</v>
      </c>
      <c r="B80" s="9">
        <v>332</v>
      </c>
      <c r="C80" s="9">
        <v>180</v>
      </c>
      <c r="D80" s="10">
        <f>IF(ISBLANK(C81),SUM(D81,Consumption(ROW(D80),COLUMN(D80))),$C$1)</f>
        <v>167.85714285714283</v>
      </c>
      <c r="E80" s="11">
        <f t="shared" si="8"/>
        <v>60263.571428571428</v>
      </c>
      <c r="M80" s="23"/>
      <c r="N80">
        <f t="shared" si="9"/>
        <v>0</v>
      </c>
      <c r="O80">
        <f t="shared" si="11"/>
        <v>360.32</v>
      </c>
      <c r="P80">
        <f t="shared" si="10"/>
        <v>0</v>
      </c>
      <c r="Q80">
        <v>11.428571428571429</v>
      </c>
      <c r="R80">
        <f t="shared" si="12"/>
        <v>38.571428571428569</v>
      </c>
      <c r="S80" s="11">
        <f t="shared" si="13"/>
        <v>115.71428571428571</v>
      </c>
    </row>
    <row r="81" spans="1:19" x14ac:dyDescent="0.25">
      <c r="A81" s="8">
        <v>41378</v>
      </c>
      <c r="B81" s="9"/>
      <c r="C81" s="9"/>
      <c r="D81" s="10">
        <f>IF(ISBLANK(C82),SUM(D82,Consumption(ROW(D81),COLUMN(D81))),$C$1)</f>
        <v>155.71428571428569</v>
      </c>
      <c r="E81" s="11">
        <f t="shared" si="8"/>
        <v>467.14285714285711</v>
      </c>
      <c r="M81" s="23">
        <v>3</v>
      </c>
      <c r="N81">
        <f t="shared" si="9"/>
        <v>3</v>
      </c>
      <c r="O81">
        <f t="shared" si="11"/>
        <v>349.976</v>
      </c>
      <c r="P81">
        <f t="shared" si="10"/>
        <v>60</v>
      </c>
      <c r="Q81">
        <v>11.428571428571429</v>
      </c>
      <c r="R81">
        <f t="shared" si="12"/>
        <v>87.142857142857139</v>
      </c>
      <c r="S81" s="11">
        <f t="shared" si="13"/>
        <v>21259.988571428574</v>
      </c>
    </row>
    <row r="82" spans="1:19" x14ac:dyDescent="0.25">
      <c r="A82" s="8">
        <v>41379</v>
      </c>
      <c r="B82" s="9"/>
      <c r="C82" s="9"/>
      <c r="D82" s="10">
        <f>IF(ISBLANK(C83),SUM(D83,Consumption(ROW(D82),COLUMN(D82))),$C$1)</f>
        <v>143.57142857142856</v>
      </c>
      <c r="E82" s="11">
        <f t="shared" si="8"/>
        <v>430.71428571428567</v>
      </c>
      <c r="M82" s="23"/>
      <c r="N82">
        <f t="shared" si="9"/>
        <v>0</v>
      </c>
      <c r="O82">
        <f t="shared" si="11"/>
        <v>360.32</v>
      </c>
      <c r="P82">
        <f t="shared" si="10"/>
        <v>0</v>
      </c>
      <c r="Q82">
        <v>11.428571428571429</v>
      </c>
      <c r="R82">
        <f t="shared" si="12"/>
        <v>75.714285714285708</v>
      </c>
      <c r="S82" s="11">
        <f t="shared" si="13"/>
        <v>227.14285714285711</v>
      </c>
    </row>
    <row r="83" spans="1:19" x14ac:dyDescent="0.25">
      <c r="A83" s="8">
        <v>41380</v>
      </c>
      <c r="B83" s="9"/>
      <c r="C83" s="9"/>
      <c r="D83" s="10">
        <f>IF(ISBLANK(C84),SUM(D84,Consumption(ROW(D83),COLUMN(D83))),$C$1)</f>
        <v>131.42857142857142</v>
      </c>
      <c r="E83" s="11">
        <f t="shared" si="8"/>
        <v>394.28571428571422</v>
      </c>
      <c r="M83" s="23"/>
      <c r="N83">
        <f t="shared" si="9"/>
        <v>0</v>
      </c>
      <c r="O83">
        <f t="shared" si="11"/>
        <v>360.32</v>
      </c>
      <c r="P83">
        <f t="shared" si="10"/>
        <v>0</v>
      </c>
      <c r="Q83">
        <v>11.428571428571429</v>
      </c>
      <c r="R83">
        <f t="shared" si="12"/>
        <v>64.285714285714278</v>
      </c>
      <c r="S83" s="11">
        <f t="shared" si="13"/>
        <v>192.85714285714283</v>
      </c>
    </row>
    <row r="84" spans="1:19" x14ac:dyDescent="0.25">
      <c r="A84" s="8">
        <v>41381</v>
      </c>
      <c r="B84" s="9"/>
      <c r="C84" s="9"/>
      <c r="D84" s="10">
        <f>IF(ISBLANK(C85),SUM(D85,Consumption(ROW(D84),COLUMN(D84))),$C$1)</f>
        <v>119.28571428571426</v>
      </c>
      <c r="E84" s="11">
        <f t="shared" si="8"/>
        <v>357.85714285714278</v>
      </c>
      <c r="M84" s="23"/>
      <c r="N84">
        <f t="shared" si="9"/>
        <v>0</v>
      </c>
      <c r="O84">
        <f t="shared" si="11"/>
        <v>360.32</v>
      </c>
      <c r="P84">
        <f t="shared" si="10"/>
        <v>0</v>
      </c>
      <c r="Q84">
        <v>11.428571428571429</v>
      </c>
      <c r="R84">
        <f t="shared" si="12"/>
        <v>52.857142857142847</v>
      </c>
      <c r="S84" s="11">
        <f t="shared" si="13"/>
        <v>158.57142857142856</v>
      </c>
    </row>
    <row r="85" spans="1:19" x14ac:dyDescent="0.25">
      <c r="A85" s="8">
        <v>41382</v>
      </c>
      <c r="B85" s="9"/>
      <c r="C85" s="9"/>
      <c r="D85" s="10">
        <f>IF(ISBLANK(C86),SUM(D86,Consumption(ROW(D85),COLUMN(D85))),$C$1)</f>
        <v>107.14285714285712</v>
      </c>
      <c r="E85" s="11">
        <f t="shared" si="8"/>
        <v>321.42857142857139</v>
      </c>
      <c r="M85" s="23"/>
      <c r="N85">
        <f t="shared" si="9"/>
        <v>0</v>
      </c>
      <c r="O85">
        <f t="shared" si="11"/>
        <v>360.32</v>
      </c>
      <c r="P85">
        <f t="shared" si="10"/>
        <v>0</v>
      </c>
      <c r="Q85">
        <v>11.428571428571429</v>
      </c>
      <c r="R85">
        <f t="shared" si="12"/>
        <v>41.428571428571416</v>
      </c>
      <c r="S85" s="11">
        <f t="shared" si="13"/>
        <v>124.28571428571425</v>
      </c>
    </row>
    <row r="86" spans="1:19" x14ac:dyDescent="0.25">
      <c r="A86" s="8">
        <v>41383</v>
      </c>
      <c r="B86" s="9"/>
      <c r="C86" s="9"/>
      <c r="D86" s="10">
        <f>IF(ISBLANK(C87),SUM(D87,Consumption(ROW(D86),COLUMN(D86))),$C$1)</f>
        <v>94.999999999999986</v>
      </c>
      <c r="E86" s="11">
        <f t="shared" si="8"/>
        <v>284.99999999999994</v>
      </c>
      <c r="M86" s="23"/>
      <c r="N86">
        <f t="shared" si="9"/>
        <v>0</v>
      </c>
      <c r="O86">
        <f t="shared" si="11"/>
        <v>360.32</v>
      </c>
      <c r="P86">
        <f t="shared" si="10"/>
        <v>0</v>
      </c>
      <c r="Q86">
        <v>11.428571428571429</v>
      </c>
      <c r="R86">
        <f t="shared" si="12"/>
        <v>29.999999999999986</v>
      </c>
      <c r="S86" s="11">
        <f t="shared" si="13"/>
        <v>89.999999999999957</v>
      </c>
    </row>
    <row r="87" spans="1:19" x14ac:dyDescent="0.25">
      <c r="A87" s="8">
        <v>41384</v>
      </c>
      <c r="B87" s="9"/>
      <c r="C87" s="9"/>
      <c r="D87" s="10">
        <f>IF(ISBLANK(C88),SUM(D88,Consumption(ROW(D87),COLUMN(D87))),$C$1)</f>
        <v>82.857142857142847</v>
      </c>
      <c r="E87" s="11">
        <f t="shared" si="8"/>
        <v>248.57142857142856</v>
      </c>
      <c r="M87" s="23"/>
      <c r="N87">
        <f t="shared" si="9"/>
        <v>0</v>
      </c>
      <c r="O87">
        <f t="shared" si="11"/>
        <v>360.32</v>
      </c>
      <c r="P87">
        <f t="shared" si="10"/>
        <v>0</v>
      </c>
      <c r="Q87">
        <v>11.428571428571429</v>
      </c>
      <c r="R87">
        <f t="shared" si="12"/>
        <v>18.571428571428555</v>
      </c>
      <c r="S87" s="11">
        <f t="shared" si="13"/>
        <v>55.714285714285666</v>
      </c>
    </row>
    <row r="88" spans="1:19" x14ac:dyDescent="0.25">
      <c r="A88" s="8">
        <v>41385</v>
      </c>
      <c r="B88" s="9"/>
      <c r="C88" s="9"/>
      <c r="D88" s="10">
        <f>IF(ISBLANK(C89),SUM(D89,Consumption(ROW(D88),COLUMN(D88))),$C$1)</f>
        <v>70.714285714285708</v>
      </c>
      <c r="E88" s="11">
        <f t="shared" si="8"/>
        <v>212.14285714285711</v>
      </c>
      <c r="M88" s="23">
        <v>4</v>
      </c>
      <c r="N88">
        <f t="shared" si="9"/>
        <v>4</v>
      </c>
      <c r="O88">
        <f t="shared" si="11"/>
        <v>329.28800000000001</v>
      </c>
      <c r="P88">
        <f t="shared" si="10"/>
        <v>180</v>
      </c>
      <c r="Q88">
        <v>11.428571428571429</v>
      </c>
      <c r="R88">
        <f t="shared" si="12"/>
        <v>187.14285714285714</v>
      </c>
      <c r="S88" s="11">
        <f t="shared" si="13"/>
        <v>59833.268571428576</v>
      </c>
    </row>
    <row r="89" spans="1:19" x14ac:dyDescent="0.25">
      <c r="A89" s="8">
        <v>41386</v>
      </c>
      <c r="B89" s="9"/>
      <c r="C89" s="9"/>
      <c r="D89" s="10">
        <f>IF(ISBLANK(C90),SUM(D90,Consumption(ROW(D89),COLUMN(D89))),$C$1)</f>
        <v>58.571428571428569</v>
      </c>
      <c r="E89" s="11">
        <f t="shared" si="8"/>
        <v>175.71428571428572</v>
      </c>
      <c r="M89" s="23"/>
      <c r="N89">
        <f t="shared" si="9"/>
        <v>0</v>
      </c>
      <c r="O89">
        <f t="shared" si="11"/>
        <v>360.32</v>
      </c>
      <c r="P89">
        <f t="shared" si="10"/>
        <v>0</v>
      </c>
      <c r="Q89">
        <v>11.428571428571429</v>
      </c>
      <c r="R89">
        <f t="shared" si="12"/>
        <v>175.71428571428572</v>
      </c>
      <c r="S89" s="11">
        <f t="shared" si="13"/>
        <v>527.14285714285711</v>
      </c>
    </row>
    <row r="90" spans="1:19" x14ac:dyDescent="0.25">
      <c r="A90" s="8">
        <v>41387</v>
      </c>
      <c r="B90" s="9"/>
      <c r="C90" s="9"/>
      <c r="D90" s="10">
        <f>IF(ISBLANK(C91),SUM(D91,Consumption(ROW(D90),COLUMN(D90))),$C$1)</f>
        <v>46.428571428571431</v>
      </c>
      <c r="E90" s="11">
        <f t="shared" si="8"/>
        <v>139.28571428571428</v>
      </c>
      <c r="M90" s="23"/>
      <c r="N90">
        <f t="shared" si="9"/>
        <v>0</v>
      </c>
      <c r="O90">
        <f t="shared" si="11"/>
        <v>360.32</v>
      </c>
      <c r="P90">
        <f t="shared" si="10"/>
        <v>0</v>
      </c>
      <c r="Q90">
        <v>11.428571428571429</v>
      </c>
      <c r="R90">
        <f t="shared" si="12"/>
        <v>164.28571428571431</v>
      </c>
      <c r="S90" s="11">
        <f t="shared" si="13"/>
        <v>492.85714285714289</v>
      </c>
    </row>
    <row r="91" spans="1:19" x14ac:dyDescent="0.25">
      <c r="A91" s="8">
        <v>41388</v>
      </c>
      <c r="B91" s="9"/>
      <c r="C91" s="9"/>
      <c r="D91" s="10">
        <f>IF(ISBLANK(C92),SUM(D92,Consumption(ROW(D91),COLUMN(D91))),$C$1)</f>
        <v>34.285714285714285</v>
      </c>
      <c r="E91" s="11">
        <f t="shared" si="8"/>
        <v>102.85714285714286</v>
      </c>
      <c r="M91" s="23"/>
      <c r="N91">
        <f t="shared" si="9"/>
        <v>0</v>
      </c>
      <c r="O91">
        <f t="shared" si="11"/>
        <v>360.32</v>
      </c>
      <c r="P91">
        <f t="shared" si="10"/>
        <v>0</v>
      </c>
      <c r="Q91">
        <v>11.428571428571429</v>
      </c>
      <c r="R91">
        <f t="shared" si="12"/>
        <v>152.85714285714289</v>
      </c>
      <c r="S91" s="11">
        <f t="shared" si="13"/>
        <v>458.57142857142867</v>
      </c>
    </row>
    <row r="92" spans="1:19" x14ac:dyDescent="0.25">
      <c r="A92" s="8">
        <v>41389</v>
      </c>
      <c r="B92" s="9"/>
      <c r="C92" s="9"/>
      <c r="D92" s="10">
        <f>IF(ISBLANK(C93),SUM(D93,Consumption(ROW(D92),COLUMN(D92))),$C$1)</f>
        <v>22.142857142857142</v>
      </c>
      <c r="E92" s="11">
        <f t="shared" si="8"/>
        <v>66.428571428571431</v>
      </c>
      <c r="M92" s="23"/>
      <c r="N92">
        <f t="shared" si="9"/>
        <v>0</v>
      </c>
      <c r="O92">
        <f t="shared" si="11"/>
        <v>360.32</v>
      </c>
      <c r="P92">
        <f t="shared" si="10"/>
        <v>0</v>
      </c>
      <c r="Q92">
        <v>11.428571428571429</v>
      </c>
      <c r="R92">
        <f t="shared" si="12"/>
        <v>141.42857142857147</v>
      </c>
      <c r="S92" s="11">
        <f t="shared" si="13"/>
        <v>424.28571428571445</v>
      </c>
    </row>
    <row r="93" spans="1:19" x14ac:dyDescent="0.25">
      <c r="A93" s="8">
        <v>41390</v>
      </c>
      <c r="B93" s="9"/>
      <c r="C93" s="9"/>
      <c r="D93" s="10">
        <f>IF(ISBLANK(C94),SUM(D94,Consumption(ROW(D93),COLUMN(D93))),$C$1)</f>
        <v>10</v>
      </c>
      <c r="E93" s="11">
        <f t="shared" si="8"/>
        <v>30</v>
      </c>
      <c r="M93" s="23"/>
      <c r="N93">
        <f t="shared" si="9"/>
        <v>0</v>
      </c>
      <c r="O93">
        <f t="shared" si="11"/>
        <v>360.32</v>
      </c>
      <c r="P93">
        <f t="shared" si="10"/>
        <v>0</v>
      </c>
      <c r="Q93">
        <v>11.428571428571429</v>
      </c>
      <c r="R93">
        <f t="shared" si="12"/>
        <v>130.00000000000006</v>
      </c>
      <c r="S93" s="11">
        <f t="shared" si="13"/>
        <v>390.00000000000017</v>
      </c>
    </row>
    <row r="94" spans="1:19" x14ac:dyDescent="0.25">
      <c r="A94" s="8">
        <v>41391</v>
      </c>
      <c r="B94" s="9">
        <v>330</v>
      </c>
      <c r="C94" s="9">
        <v>180</v>
      </c>
      <c r="D94" s="10">
        <f>IF(ISBLANK(C95),SUM(D95,Consumption(ROW(D94),COLUMN(D94))),$C$1)</f>
        <v>10</v>
      </c>
      <c r="E94" s="11">
        <f t="shared" si="8"/>
        <v>59430</v>
      </c>
      <c r="M94" s="23">
        <v>2</v>
      </c>
      <c r="N94">
        <f t="shared" si="9"/>
        <v>2</v>
      </c>
      <c r="O94">
        <f t="shared" si="11"/>
        <v>353.42399999999998</v>
      </c>
      <c r="P94">
        <f t="shared" si="10"/>
        <v>40</v>
      </c>
      <c r="Q94">
        <v>160</v>
      </c>
      <c r="R94">
        <f t="shared" si="12"/>
        <v>10.000000000000057</v>
      </c>
      <c r="S94" s="11">
        <f t="shared" si="13"/>
        <v>14166.96</v>
      </c>
    </row>
    <row r="95" spans="1:19" ht="15.75" thickBot="1" x14ac:dyDescent="0.3">
      <c r="A95" s="12">
        <v>41392</v>
      </c>
      <c r="B95" s="13">
        <v>350</v>
      </c>
      <c r="C95" s="13">
        <v>45</v>
      </c>
      <c r="D95" s="14">
        <f>IF(ISBLANK(C96),SUM(D96,Consumption(ROW(D95),COLUMN(D95))),$C$1)</f>
        <v>28.333333333333332</v>
      </c>
      <c r="E95" s="15">
        <f t="shared" si="8"/>
        <v>15835</v>
      </c>
      <c r="M95" s="23"/>
      <c r="N95">
        <f t="shared" si="9"/>
        <v>0</v>
      </c>
      <c r="O95">
        <f t="shared" si="11"/>
        <v>360.32</v>
      </c>
      <c r="P95">
        <f t="shared" si="10"/>
        <v>0</v>
      </c>
      <c r="Q95">
        <v>5</v>
      </c>
      <c r="R95">
        <f t="shared" si="12"/>
        <v>5.0000000000000568</v>
      </c>
      <c r="S95" s="11">
        <f t="shared" si="13"/>
        <v>15.000000000000171</v>
      </c>
    </row>
    <row r="96" spans="1:19" ht="15.75" thickBot="1" x14ac:dyDescent="0.3">
      <c r="C96" s="1"/>
    </row>
    <row r="97" spans="5:21" x14ac:dyDescent="0.25">
      <c r="E97" s="2" t="s">
        <v>9</v>
      </c>
      <c r="F97" s="6" t="s">
        <v>8</v>
      </c>
      <c r="G97" s="7" t="s">
        <v>7</v>
      </c>
      <c r="S97" s="2" t="s">
        <v>9</v>
      </c>
      <c r="T97" s="6" t="s">
        <v>8</v>
      </c>
      <c r="U97" s="7" t="s">
        <v>7</v>
      </c>
    </row>
    <row r="98" spans="5:21" ht="15.75" thickBot="1" x14ac:dyDescent="0.3">
      <c r="E98" s="16">
        <f>SUM(E3:E95)</f>
        <v>298385</v>
      </c>
      <c r="F98" s="17">
        <f>SUM(D3:D95)*E1</f>
        <v>17215</v>
      </c>
      <c r="G98" s="15">
        <f>SUMPRODUCT(B3:B95,C3:C95)</f>
        <v>281170</v>
      </c>
      <c r="S98" s="16">
        <f>SUM(S3:S95)</f>
        <v>294047.88000000006</v>
      </c>
      <c r="T98" s="17">
        <f>SUM(R3:R95)*S1</f>
        <v>21824.999999999993</v>
      </c>
      <c r="U98" s="15">
        <f>SUMPRODUCT(P3:P95,O3:O95)</f>
        <v>272222.88</v>
      </c>
    </row>
  </sheetData>
  <conditionalFormatting sqref="O2:P3 P4:P95">
    <cfRule type="cellIs" dxfId="1" priority="1" operator="greaterThan">
      <formula>0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2"/>
  <sheetViews>
    <sheetView showGridLines="0" topLeftCell="A141" workbookViewId="0">
      <selection activeCell="E147" sqref="E147"/>
    </sheetView>
  </sheetViews>
  <sheetFormatPr defaultRowHeight="15" x14ac:dyDescent="0.25"/>
  <cols>
    <col min="1" max="1" width="2.28515625" customWidth="1"/>
    <col min="2" max="2" width="6.7109375" bestFit="1" customWidth="1"/>
    <col min="3" max="3" width="21.5703125" bestFit="1" customWidth="1"/>
    <col min="4" max="4" width="13.7109375" bestFit="1" customWidth="1"/>
    <col min="5" max="5" width="12.5703125" bestFit="1" customWidth="1"/>
    <col min="6" max="6" width="14.7109375" customWidth="1"/>
  </cols>
  <sheetData>
    <row r="1" spans="1:6" x14ac:dyDescent="0.25">
      <c r="A1" s="24" t="s">
        <v>517</v>
      </c>
    </row>
    <row r="2" spans="1:6" x14ac:dyDescent="0.25">
      <c r="A2" s="24" t="s">
        <v>518</v>
      </c>
    </row>
    <row r="3" spans="1:6" x14ac:dyDescent="0.25">
      <c r="A3" s="24" t="s">
        <v>519</v>
      </c>
    </row>
    <row r="6" spans="1:6" ht="15.75" thickBot="1" x14ac:dyDescent="0.3">
      <c r="A6" t="s">
        <v>30</v>
      </c>
    </row>
    <row r="7" spans="1:6" ht="15.75" thickBot="1" x14ac:dyDescent="0.3">
      <c r="B7" s="32" t="s">
        <v>31</v>
      </c>
      <c r="C7" s="32" t="s">
        <v>32</v>
      </c>
      <c r="D7" s="32" t="s">
        <v>33</v>
      </c>
      <c r="E7" s="32" t="s">
        <v>34</v>
      </c>
      <c r="F7" s="32" t="s">
        <v>520</v>
      </c>
    </row>
    <row r="8" spans="1:6" ht="15.75" thickBot="1" x14ac:dyDescent="0.3">
      <c r="B8" s="25" t="s">
        <v>522</v>
      </c>
      <c r="C8" s="25" t="s">
        <v>7</v>
      </c>
      <c r="D8" s="28">
        <v>305944.4800000001</v>
      </c>
      <c r="E8" s="28">
        <v>305944.4800000001</v>
      </c>
      <c r="F8" s="33" t="s">
        <v>523</v>
      </c>
    </row>
    <row r="11" spans="1:6" ht="15.75" thickBot="1" x14ac:dyDescent="0.3">
      <c r="A11" t="s">
        <v>35</v>
      </c>
    </row>
    <row r="12" spans="1:6" ht="15.75" thickBot="1" x14ac:dyDescent="0.3">
      <c r="B12" s="32" t="s">
        <v>31</v>
      </c>
      <c r="C12" s="32" t="s">
        <v>32</v>
      </c>
      <c r="D12" s="32" t="s">
        <v>33</v>
      </c>
      <c r="E12" s="32" t="s">
        <v>34</v>
      </c>
      <c r="F12" s="32" t="s">
        <v>521</v>
      </c>
    </row>
    <row r="13" spans="1:6" x14ac:dyDescent="0.25">
      <c r="B13" s="27" t="s">
        <v>524</v>
      </c>
      <c r="C13" s="27" t="s">
        <v>12</v>
      </c>
      <c r="D13" s="29">
        <v>0</v>
      </c>
      <c r="E13" s="29">
        <v>0</v>
      </c>
      <c r="F13" s="34" t="s">
        <v>523</v>
      </c>
    </row>
    <row r="14" spans="1:6" x14ac:dyDescent="0.25">
      <c r="B14" s="27" t="s">
        <v>525</v>
      </c>
      <c r="C14" s="27" t="s">
        <v>12</v>
      </c>
      <c r="D14" s="29">
        <v>0</v>
      </c>
      <c r="E14" s="29">
        <v>0</v>
      </c>
      <c r="F14" s="34" t="s">
        <v>523</v>
      </c>
    </row>
    <row r="15" spans="1:6" x14ac:dyDescent="0.25">
      <c r="B15" s="27" t="s">
        <v>526</v>
      </c>
      <c r="C15" s="27" t="s">
        <v>12</v>
      </c>
      <c r="D15" s="29">
        <v>0</v>
      </c>
      <c r="E15" s="29">
        <v>0</v>
      </c>
      <c r="F15" s="34" t="s">
        <v>523</v>
      </c>
    </row>
    <row r="16" spans="1:6" x14ac:dyDescent="0.25">
      <c r="B16" s="27" t="s">
        <v>527</v>
      </c>
      <c r="C16" s="27" t="s">
        <v>12</v>
      </c>
      <c r="D16" s="29">
        <v>0</v>
      </c>
      <c r="E16" s="29">
        <v>0</v>
      </c>
      <c r="F16" s="34" t="s">
        <v>523</v>
      </c>
    </row>
    <row r="17" spans="2:6" x14ac:dyDescent="0.25">
      <c r="B17" s="27" t="s">
        <v>528</v>
      </c>
      <c r="C17" s="27" t="s">
        <v>12</v>
      </c>
      <c r="D17" s="29">
        <v>0</v>
      </c>
      <c r="E17" s="29">
        <v>0</v>
      </c>
      <c r="F17" s="34" t="s">
        <v>523</v>
      </c>
    </row>
    <row r="18" spans="2:6" x14ac:dyDescent="0.25">
      <c r="B18" s="27" t="s">
        <v>529</v>
      </c>
      <c r="C18" s="27" t="s">
        <v>12</v>
      </c>
      <c r="D18" s="29">
        <v>0</v>
      </c>
      <c r="E18" s="29">
        <v>0</v>
      </c>
      <c r="F18" s="34" t="s">
        <v>523</v>
      </c>
    </row>
    <row r="19" spans="2:6" x14ac:dyDescent="0.25">
      <c r="B19" s="27" t="s">
        <v>530</v>
      </c>
      <c r="C19" s="27" t="s">
        <v>12</v>
      </c>
      <c r="D19" s="29">
        <v>0</v>
      </c>
      <c r="E19" s="29">
        <v>0</v>
      </c>
      <c r="F19" s="34" t="s">
        <v>523</v>
      </c>
    </row>
    <row r="20" spans="2:6" x14ac:dyDescent="0.25">
      <c r="B20" s="27" t="s">
        <v>531</v>
      </c>
      <c r="C20" s="27" t="s">
        <v>12</v>
      </c>
      <c r="D20" s="29">
        <v>0</v>
      </c>
      <c r="E20" s="29">
        <v>0</v>
      </c>
      <c r="F20" s="34" t="s">
        <v>523</v>
      </c>
    </row>
    <row r="21" spans="2:6" x14ac:dyDescent="0.25">
      <c r="B21" s="27" t="s">
        <v>532</v>
      </c>
      <c r="C21" s="27" t="s">
        <v>12</v>
      </c>
      <c r="D21" s="29">
        <v>0</v>
      </c>
      <c r="E21" s="29">
        <v>0</v>
      </c>
      <c r="F21" s="34" t="s">
        <v>523</v>
      </c>
    </row>
    <row r="22" spans="2:6" x14ac:dyDescent="0.25">
      <c r="B22" s="27" t="s">
        <v>533</v>
      </c>
      <c r="C22" s="27" t="s">
        <v>12</v>
      </c>
      <c r="D22" s="29">
        <v>0</v>
      </c>
      <c r="E22" s="29">
        <v>0</v>
      </c>
      <c r="F22" s="34" t="s">
        <v>523</v>
      </c>
    </row>
    <row r="23" spans="2:6" x14ac:dyDescent="0.25">
      <c r="B23" s="27" t="s">
        <v>534</v>
      </c>
      <c r="C23" s="27" t="s">
        <v>12</v>
      </c>
      <c r="D23" s="29">
        <v>0</v>
      </c>
      <c r="E23" s="29">
        <v>0</v>
      </c>
      <c r="F23" s="34" t="s">
        <v>523</v>
      </c>
    </row>
    <row r="24" spans="2:6" x14ac:dyDescent="0.25">
      <c r="B24" s="27" t="s">
        <v>535</v>
      </c>
      <c r="C24" s="27" t="s">
        <v>12</v>
      </c>
      <c r="D24" s="29">
        <v>0</v>
      </c>
      <c r="E24" s="29">
        <v>0</v>
      </c>
      <c r="F24" s="34" t="s">
        <v>523</v>
      </c>
    </row>
    <row r="25" spans="2:6" x14ac:dyDescent="0.25">
      <c r="B25" s="27" t="s">
        <v>536</v>
      </c>
      <c r="C25" s="27" t="s">
        <v>12</v>
      </c>
      <c r="D25" s="29">
        <v>0</v>
      </c>
      <c r="E25" s="29">
        <v>0</v>
      </c>
      <c r="F25" s="34" t="s">
        <v>523</v>
      </c>
    </row>
    <row r="26" spans="2:6" x14ac:dyDescent="0.25">
      <c r="B26" s="27" t="s">
        <v>537</v>
      </c>
      <c r="C26" s="27" t="s">
        <v>12</v>
      </c>
      <c r="D26" s="29">
        <v>0</v>
      </c>
      <c r="E26" s="29">
        <v>0</v>
      </c>
      <c r="F26" s="34" t="s">
        <v>523</v>
      </c>
    </row>
    <row r="27" spans="2:6" x14ac:dyDescent="0.25">
      <c r="B27" s="27" t="s">
        <v>538</v>
      </c>
      <c r="C27" s="27" t="s">
        <v>12</v>
      </c>
      <c r="D27" s="29">
        <v>0</v>
      </c>
      <c r="E27" s="29">
        <v>0</v>
      </c>
      <c r="F27" s="34" t="s">
        <v>523</v>
      </c>
    </row>
    <row r="28" spans="2:6" x14ac:dyDescent="0.25">
      <c r="B28" s="27" t="s">
        <v>539</v>
      </c>
      <c r="C28" s="27" t="s">
        <v>12</v>
      </c>
      <c r="D28" s="29">
        <v>0</v>
      </c>
      <c r="E28" s="29">
        <v>0</v>
      </c>
      <c r="F28" s="34" t="s">
        <v>523</v>
      </c>
    </row>
    <row r="29" spans="2:6" x14ac:dyDescent="0.25">
      <c r="B29" s="27" t="s">
        <v>540</v>
      </c>
      <c r="C29" s="27" t="s">
        <v>12</v>
      </c>
      <c r="D29" s="29">
        <v>0</v>
      </c>
      <c r="E29" s="29">
        <v>0</v>
      </c>
      <c r="F29" s="34" t="s">
        <v>523</v>
      </c>
    </row>
    <row r="30" spans="2:6" x14ac:dyDescent="0.25">
      <c r="B30" s="27" t="s">
        <v>541</v>
      </c>
      <c r="C30" s="27" t="s">
        <v>12</v>
      </c>
      <c r="D30" s="29">
        <v>0</v>
      </c>
      <c r="E30" s="29">
        <v>0</v>
      </c>
      <c r="F30" s="34" t="s">
        <v>523</v>
      </c>
    </row>
    <row r="31" spans="2:6" x14ac:dyDescent="0.25">
      <c r="B31" s="27" t="s">
        <v>542</v>
      </c>
      <c r="C31" s="27" t="s">
        <v>12</v>
      </c>
      <c r="D31" s="29">
        <v>1</v>
      </c>
      <c r="E31" s="29">
        <v>1</v>
      </c>
      <c r="F31" s="34" t="s">
        <v>523</v>
      </c>
    </row>
    <row r="32" spans="2:6" x14ac:dyDescent="0.25">
      <c r="B32" s="27" t="s">
        <v>543</v>
      </c>
      <c r="C32" s="27" t="s">
        <v>12</v>
      </c>
      <c r="D32" s="29">
        <v>0</v>
      </c>
      <c r="E32" s="29">
        <v>0</v>
      </c>
      <c r="F32" s="34" t="s">
        <v>523</v>
      </c>
    </row>
    <row r="33" spans="2:6" x14ac:dyDescent="0.25">
      <c r="B33" s="27" t="s">
        <v>544</v>
      </c>
      <c r="C33" s="27" t="s">
        <v>12</v>
      </c>
      <c r="D33" s="29">
        <v>0</v>
      </c>
      <c r="E33" s="29">
        <v>0</v>
      </c>
      <c r="F33" s="34" t="s">
        <v>523</v>
      </c>
    </row>
    <row r="34" spans="2:6" x14ac:dyDescent="0.25">
      <c r="B34" s="27" t="s">
        <v>545</v>
      </c>
      <c r="C34" s="27" t="s">
        <v>12</v>
      </c>
      <c r="D34" s="29">
        <v>0</v>
      </c>
      <c r="E34" s="29">
        <v>0</v>
      </c>
      <c r="F34" s="34" t="s">
        <v>523</v>
      </c>
    </row>
    <row r="35" spans="2:6" x14ac:dyDescent="0.25">
      <c r="B35" s="27" t="s">
        <v>546</v>
      </c>
      <c r="C35" s="27" t="s">
        <v>12</v>
      </c>
      <c r="D35" s="29">
        <v>0</v>
      </c>
      <c r="E35" s="29">
        <v>0</v>
      </c>
      <c r="F35" s="34" t="s">
        <v>523</v>
      </c>
    </row>
    <row r="36" spans="2:6" x14ac:dyDescent="0.25">
      <c r="B36" s="27" t="s">
        <v>547</v>
      </c>
      <c r="C36" s="27" t="s">
        <v>67</v>
      </c>
      <c r="D36" s="29">
        <v>0</v>
      </c>
      <c r="E36" s="29">
        <v>0</v>
      </c>
      <c r="F36" s="34" t="s">
        <v>523</v>
      </c>
    </row>
    <row r="37" spans="2:6" x14ac:dyDescent="0.25">
      <c r="B37" s="27" t="s">
        <v>548</v>
      </c>
      <c r="C37" s="27" t="s">
        <v>12</v>
      </c>
      <c r="D37" s="29">
        <v>0</v>
      </c>
      <c r="E37" s="29">
        <v>0</v>
      </c>
      <c r="F37" s="34" t="s">
        <v>523</v>
      </c>
    </row>
    <row r="38" spans="2:6" x14ac:dyDescent="0.25">
      <c r="B38" s="27" t="s">
        <v>549</v>
      </c>
      <c r="C38" s="27" t="s">
        <v>12</v>
      </c>
      <c r="D38" s="29">
        <v>1</v>
      </c>
      <c r="E38" s="29">
        <v>1</v>
      </c>
      <c r="F38" s="34" t="s">
        <v>523</v>
      </c>
    </row>
    <row r="39" spans="2:6" x14ac:dyDescent="0.25">
      <c r="B39" s="27" t="s">
        <v>550</v>
      </c>
      <c r="C39" s="27" t="s">
        <v>12</v>
      </c>
      <c r="D39" s="29">
        <v>0</v>
      </c>
      <c r="E39" s="29">
        <v>0</v>
      </c>
      <c r="F39" s="34" t="s">
        <v>523</v>
      </c>
    </row>
    <row r="40" spans="2:6" x14ac:dyDescent="0.25">
      <c r="B40" s="27" t="s">
        <v>551</v>
      </c>
      <c r="C40" s="27" t="s">
        <v>12</v>
      </c>
      <c r="D40" s="29">
        <v>1</v>
      </c>
      <c r="E40" s="29">
        <v>1</v>
      </c>
      <c r="F40" s="34" t="s">
        <v>523</v>
      </c>
    </row>
    <row r="41" spans="2:6" x14ac:dyDescent="0.25">
      <c r="B41" s="27" t="s">
        <v>552</v>
      </c>
      <c r="C41" s="27" t="s">
        <v>12</v>
      </c>
      <c r="D41" s="29">
        <v>1</v>
      </c>
      <c r="E41" s="29">
        <v>1</v>
      </c>
      <c r="F41" s="34" t="s">
        <v>523</v>
      </c>
    </row>
    <row r="42" spans="2:6" x14ac:dyDescent="0.25">
      <c r="B42" s="27" t="s">
        <v>553</v>
      </c>
      <c r="C42" s="27" t="s">
        <v>12</v>
      </c>
      <c r="D42" s="29">
        <v>0</v>
      </c>
      <c r="E42" s="29">
        <v>0</v>
      </c>
      <c r="F42" s="34" t="s">
        <v>523</v>
      </c>
    </row>
    <row r="43" spans="2:6" x14ac:dyDescent="0.25">
      <c r="B43" s="27" t="s">
        <v>554</v>
      </c>
      <c r="C43" s="27" t="s">
        <v>12</v>
      </c>
      <c r="D43" s="29">
        <v>1</v>
      </c>
      <c r="E43" s="29">
        <v>1</v>
      </c>
      <c r="F43" s="34" t="s">
        <v>523</v>
      </c>
    </row>
    <row r="44" spans="2:6" x14ac:dyDescent="0.25">
      <c r="B44" s="27" t="s">
        <v>555</v>
      </c>
      <c r="C44" s="27" t="s">
        <v>12</v>
      </c>
      <c r="D44" s="29">
        <v>0</v>
      </c>
      <c r="E44" s="29">
        <v>0</v>
      </c>
      <c r="F44" s="34" t="s">
        <v>523</v>
      </c>
    </row>
    <row r="45" spans="2:6" x14ac:dyDescent="0.25">
      <c r="B45" s="27" t="s">
        <v>556</v>
      </c>
      <c r="C45" s="27" t="s">
        <v>77</v>
      </c>
      <c r="D45" s="29">
        <v>1</v>
      </c>
      <c r="E45" s="29">
        <v>1</v>
      </c>
      <c r="F45" s="34" t="s">
        <v>523</v>
      </c>
    </row>
    <row r="46" spans="2:6" x14ac:dyDescent="0.25">
      <c r="B46" s="27" t="s">
        <v>557</v>
      </c>
      <c r="C46" s="27" t="s">
        <v>12</v>
      </c>
      <c r="D46" s="29">
        <v>1</v>
      </c>
      <c r="E46" s="29">
        <v>1</v>
      </c>
      <c r="F46" s="34" t="s">
        <v>523</v>
      </c>
    </row>
    <row r="47" spans="2:6" x14ac:dyDescent="0.25">
      <c r="B47" s="27" t="s">
        <v>558</v>
      </c>
      <c r="C47" s="27" t="s">
        <v>12</v>
      </c>
      <c r="D47" s="29">
        <v>0</v>
      </c>
      <c r="E47" s="29">
        <v>0</v>
      </c>
      <c r="F47" s="34" t="s">
        <v>523</v>
      </c>
    </row>
    <row r="48" spans="2:6" x14ac:dyDescent="0.25">
      <c r="B48" s="27" t="s">
        <v>559</v>
      </c>
      <c r="C48" s="27" t="s">
        <v>12</v>
      </c>
      <c r="D48" s="29">
        <v>1</v>
      </c>
      <c r="E48" s="29">
        <v>1</v>
      </c>
      <c r="F48" s="34" t="s">
        <v>523</v>
      </c>
    </row>
    <row r="49" spans="2:6" x14ac:dyDescent="0.25">
      <c r="B49" s="27" t="s">
        <v>560</v>
      </c>
      <c r="C49" s="27" t="s">
        <v>12</v>
      </c>
      <c r="D49" s="29">
        <v>0</v>
      </c>
      <c r="E49" s="29">
        <v>0</v>
      </c>
      <c r="F49" s="34" t="s">
        <v>523</v>
      </c>
    </row>
    <row r="50" spans="2:6" x14ac:dyDescent="0.25">
      <c r="B50" s="27" t="s">
        <v>561</v>
      </c>
      <c r="C50" s="27" t="s">
        <v>12</v>
      </c>
      <c r="D50" s="29">
        <v>0</v>
      </c>
      <c r="E50" s="29">
        <v>0</v>
      </c>
      <c r="F50" s="34" t="s">
        <v>523</v>
      </c>
    </row>
    <row r="51" spans="2:6" x14ac:dyDescent="0.25">
      <c r="B51" s="27" t="s">
        <v>562</v>
      </c>
      <c r="C51" s="27" t="s">
        <v>12</v>
      </c>
      <c r="D51" s="29">
        <v>0</v>
      </c>
      <c r="E51" s="29">
        <v>0</v>
      </c>
      <c r="F51" s="34" t="s">
        <v>523</v>
      </c>
    </row>
    <row r="52" spans="2:6" x14ac:dyDescent="0.25">
      <c r="B52" s="27" t="s">
        <v>563</v>
      </c>
      <c r="C52" s="27" t="s">
        <v>12</v>
      </c>
      <c r="D52" s="29">
        <v>1</v>
      </c>
      <c r="E52" s="29">
        <v>1</v>
      </c>
      <c r="F52" s="34" t="s">
        <v>523</v>
      </c>
    </row>
    <row r="53" spans="2:6" x14ac:dyDescent="0.25">
      <c r="B53" s="27" t="s">
        <v>564</v>
      </c>
      <c r="C53" s="27" t="s">
        <v>12</v>
      </c>
      <c r="D53" s="29">
        <v>1</v>
      </c>
      <c r="E53" s="29">
        <v>1</v>
      </c>
      <c r="F53" s="34" t="s">
        <v>523</v>
      </c>
    </row>
    <row r="54" spans="2:6" x14ac:dyDescent="0.25">
      <c r="B54" s="27" t="s">
        <v>565</v>
      </c>
      <c r="C54" s="27" t="s">
        <v>12</v>
      </c>
      <c r="D54" s="29">
        <v>1</v>
      </c>
      <c r="E54" s="29">
        <v>1</v>
      </c>
      <c r="F54" s="34" t="s">
        <v>523</v>
      </c>
    </row>
    <row r="55" spans="2:6" x14ac:dyDescent="0.25">
      <c r="B55" s="27" t="s">
        <v>566</v>
      </c>
      <c r="C55" s="27" t="s">
        <v>12</v>
      </c>
      <c r="D55" s="29">
        <v>0</v>
      </c>
      <c r="E55" s="29">
        <v>0</v>
      </c>
      <c r="F55" s="34" t="s">
        <v>523</v>
      </c>
    </row>
    <row r="56" spans="2:6" x14ac:dyDescent="0.25">
      <c r="B56" s="27" t="s">
        <v>567</v>
      </c>
      <c r="C56" s="27" t="s">
        <v>12</v>
      </c>
      <c r="D56" s="29">
        <v>1</v>
      </c>
      <c r="E56" s="29">
        <v>1</v>
      </c>
      <c r="F56" s="34" t="s">
        <v>523</v>
      </c>
    </row>
    <row r="57" spans="2:6" x14ac:dyDescent="0.25">
      <c r="B57" s="27" t="s">
        <v>568</v>
      </c>
      <c r="C57" s="27" t="s">
        <v>12</v>
      </c>
      <c r="D57" s="29">
        <v>1</v>
      </c>
      <c r="E57" s="29">
        <v>1</v>
      </c>
      <c r="F57" s="34" t="s">
        <v>523</v>
      </c>
    </row>
    <row r="58" spans="2:6" x14ac:dyDescent="0.25">
      <c r="B58" s="27" t="s">
        <v>569</v>
      </c>
      <c r="C58" s="27" t="s">
        <v>12</v>
      </c>
      <c r="D58" s="29">
        <v>0</v>
      </c>
      <c r="E58" s="29">
        <v>0</v>
      </c>
      <c r="F58" s="34" t="s">
        <v>523</v>
      </c>
    </row>
    <row r="59" spans="2:6" x14ac:dyDescent="0.25">
      <c r="B59" s="27" t="s">
        <v>570</v>
      </c>
      <c r="C59" s="27" t="s">
        <v>12</v>
      </c>
      <c r="D59" s="29">
        <v>0</v>
      </c>
      <c r="E59" s="29">
        <v>0</v>
      </c>
      <c r="F59" s="34" t="s">
        <v>523</v>
      </c>
    </row>
    <row r="60" spans="2:6" x14ac:dyDescent="0.25">
      <c r="B60" s="27" t="s">
        <v>571</v>
      </c>
      <c r="C60" s="27" t="s">
        <v>12</v>
      </c>
      <c r="D60" s="29">
        <v>1</v>
      </c>
      <c r="E60" s="29">
        <v>1</v>
      </c>
      <c r="F60" s="34" t="s">
        <v>523</v>
      </c>
    </row>
    <row r="61" spans="2:6" x14ac:dyDescent="0.25">
      <c r="B61" s="27" t="s">
        <v>572</v>
      </c>
      <c r="C61" s="27" t="s">
        <v>12</v>
      </c>
      <c r="D61" s="29">
        <v>2</v>
      </c>
      <c r="E61" s="29">
        <v>2</v>
      </c>
      <c r="F61" s="34" t="s">
        <v>523</v>
      </c>
    </row>
    <row r="62" spans="2:6" x14ac:dyDescent="0.25">
      <c r="B62" s="27" t="s">
        <v>573</v>
      </c>
      <c r="C62" s="27" t="s">
        <v>12</v>
      </c>
      <c r="D62" s="29">
        <v>0</v>
      </c>
      <c r="E62" s="29">
        <v>0</v>
      </c>
      <c r="F62" s="34" t="s">
        <v>523</v>
      </c>
    </row>
    <row r="63" spans="2:6" x14ac:dyDescent="0.25">
      <c r="B63" s="27" t="s">
        <v>574</v>
      </c>
      <c r="C63" s="27" t="s">
        <v>12</v>
      </c>
      <c r="D63" s="29">
        <v>1</v>
      </c>
      <c r="E63" s="29">
        <v>1</v>
      </c>
      <c r="F63" s="34" t="s">
        <v>523</v>
      </c>
    </row>
    <row r="64" spans="2:6" x14ac:dyDescent="0.25">
      <c r="B64" s="27" t="s">
        <v>575</v>
      </c>
      <c r="C64" s="27" t="s">
        <v>12</v>
      </c>
      <c r="D64" s="29">
        <v>0</v>
      </c>
      <c r="E64" s="29">
        <v>0</v>
      </c>
      <c r="F64" s="34" t="s">
        <v>523</v>
      </c>
    </row>
    <row r="65" spans="2:6" x14ac:dyDescent="0.25">
      <c r="B65" s="27" t="s">
        <v>576</v>
      </c>
      <c r="C65" s="27" t="s">
        <v>12</v>
      </c>
      <c r="D65" s="29">
        <v>1</v>
      </c>
      <c r="E65" s="29">
        <v>1</v>
      </c>
      <c r="F65" s="34" t="s">
        <v>523</v>
      </c>
    </row>
    <row r="66" spans="2:6" x14ac:dyDescent="0.25">
      <c r="B66" s="27" t="s">
        <v>577</v>
      </c>
      <c r="C66" s="27" t="s">
        <v>12</v>
      </c>
      <c r="D66" s="29">
        <v>1</v>
      </c>
      <c r="E66" s="29">
        <v>1</v>
      </c>
      <c r="F66" s="34" t="s">
        <v>523</v>
      </c>
    </row>
    <row r="67" spans="2:6" x14ac:dyDescent="0.25">
      <c r="B67" s="27" t="s">
        <v>578</v>
      </c>
      <c r="C67" s="27" t="s">
        <v>12</v>
      </c>
      <c r="D67" s="29">
        <v>0</v>
      </c>
      <c r="E67" s="29">
        <v>0</v>
      </c>
      <c r="F67" s="34" t="s">
        <v>523</v>
      </c>
    </row>
    <row r="68" spans="2:6" x14ac:dyDescent="0.25">
      <c r="B68" s="27" t="s">
        <v>579</v>
      </c>
      <c r="C68" s="27" t="s">
        <v>12</v>
      </c>
      <c r="D68" s="29">
        <v>0</v>
      </c>
      <c r="E68" s="29">
        <v>0</v>
      </c>
      <c r="F68" s="34" t="s">
        <v>523</v>
      </c>
    </row>
    <row r="69" spans="2:6" x14ac:dyDescent="0.25">
      <c r="B69" s="27" t="s">
        <v>580</v>
      </c>
      <c r="C69" s="27" t="s">
        <v>12</v>
      </c>
      <c r="D69" s="29">
        <v>1</v>
      </c>
      <c r="E69" s="29">
        <v>1</v>
      </c>
      <c r="F69" s="34" t="s">
        <v>523</v>
      </c>
    </row>
    <row r="70" spans="2:6" x14ac:dyDescent="0.25">
      <c r="B70" s="27" t="s">
        <v>581</v>
      </c>
      <c r="C70" s="27" t="s">
        <v>12</v>
      </c>
      <c r="D70" s="29">
        <v>1</v>
      </c>
      <c r="E70" s="29">
        <v>1</v>
      </c>
      <c r="F70" s="34" t="s">
        <v>523</v>
      </c>
    </row>
    <row r="71" spans="2:6" x14ac:dyDescent="0.25">
      <c r="B71" s="27" t="s">
        <v>582</v>
      </c>
      <c r="C71" s="27" t="s">
        <v>12</v>
      </c>
      <c r="D71" s="29">
        <v>0</v>
      </c>
      <c r="E71" s="29">
        <v>0</v>
      </c>
      <c r="F71" s="34" t="s">
        <v>523</v>
      </c>
    </row>
    <row r="72" spans="2:6" x14ac:dyDescent="0.25">
      <c r="B72" s="27" t="s">
        <v>583</v>
      </c>
      <c r="C72" s="27" t="s">
        <v>12</v>
      </c>
      <c r="D72" s="29">
        <v>0</v>
      </c>
      <c r="E72" s="29">
        <v>0</v>
      </c>
      <c r="F72" s="34" t="s">
        <v>523</v>
      </c>
    </row>
    <row r="73" spans="2:6" x14ac:dyDescent="0.25">
      <c r="B73" s="27" t="s">
        <v>584</v>
      </c>
      <c r="C73" s="27" t="s">
        <v>12</v>
      </c>
      <c r="D73" s="29">
        <v>1</v>
      </c>
      <c r="E73" s="29">
        <v>1</v>
      </c>
      <c r="F73" s="34" t="s">
        <v>523</v>
      </c>
    </row>
    <row r="74" spans="2:6" x14ac:dyDescent="0.25">
      <c r="B74" s="27" t="s">
        <v>585</v>
      </c>
      <c r="C74" s="27" t="s">
        <v>12</v>
      </c>
      <c r="D74" s="29">
        <v>1</v>
      </c>
      <c r="E74" s="29">
        <v>1</v>
      </c>
      <c r="F74" s="34" t="s">
        <v>523</v>
      </c>
    </row>
    <row r="75" spans="2:6" x14ac:dyDescent="0.25">
      <c r="B75" s="27" t="s">
        <v>586</v>
      </c>
      <c r="C75" s="27" t="s">
        <v>12</v>
      </c>
      <c r="D75" s="29">
        <v>0</v>
      </c>
      <c r="E75" s="29">
        <v>0</v>
      </c>
      <c r="F75" s="34" t="s">
        <v>523</v>
      </c>
    </row>
    <row r="76" spans="2:6" x14ac:dyDescent="0.25">
      <c r="B76" s="27" t="s">
        <v>587</v>
      </c>
      <c r="C76" s="27" t="s">
        <v>12</v>
      </c>
      <c r="D76" s="29">
        <v>0</v>
      </c>
      <c r="E76" s="29">
        <v>0</v>
      </c>
      <c r="F76" s="34" t="s">
        <v>523</v>
      </c>
    </row>
    <row r="77" spans="2:6" x14ac:dyDescent="0.25">
      <c r="B77" s="27" t="s">
        <v>588</v>
      </c>
      <c r="C77" s="27" t="s">
        <v>12</v>
      </c>
      <c r="D77" s="29">
        <v>0</v>
      </c>
      <c r="E77" s="29">
        <v>0</v>
      </c>
      <c r="F77" s="34" t="s">
        <v>523</v>
      </c>
    </row>
    <row r="78" spans="2:6" x14ac:dyDescent="0.25">
      <c r="B78" s="27" t="s">
        <v>589</v>
      </c>
      <c r="C78" s="27" t="s">
        <v>12</v>
      </c>
      <c r="D78" s="29">
        <v>0</v>
      </c>
      <c r="E78" s="29">
        <v>0</v>
      </c>
      <c r="F78" s="34" t="s">
        <v>523</v>
      </c>
    </row>
    <row r="79" spans="2:6" x14ac:dyDescent="0.25">
      <c r="B79" s="27" t="s">
        <v>590</v>
      </c>
      <c r="C79" s="27" t="s">
        <v>12</v>
      </c>
      <c r="D79" s="29">
        <v>0</v>
      </c>
      <c r="E79" s="29">
        <v>0</v>
      </c>
      <c r="F79" s="34" t="s">
        <v>523</v>
      </c>
    </row>
    <row r="80" spans="2:6" x14ac:dyDescent="0.25">
      <c r="B80" s="27" t="s">
        <v>591</v>
      </c>
      <c r="C80" s="27" t="s">
        <v>12</v>
      </c>
      <c r="D80" s="29">
        <v>1</v>
      </c>
      <c r="E80" s="29">
        <v>1</v>
      </c>
      <c r="F80" s="34" t="s">
        <v>523</v>
      </c>
    </row>
    <row r="81" spans="2:6" x14ac:dyDescent="0.25">
      <c r="B81" s="27" t="s">
        <v>592</v>
      </c>
      <c r="C81" s="27" t="s">
        <v>12</v>
      </c>
      <c r="D81" s="29">
        <v>0</v>
      </c>
      <c r="E81" s="29">
        <v>0</v>
      </c>
      <c r="F81" s="34" t="s">
        <v>523</v>
      </c>
    </row>
    <row r="82" spans="2:6" x14ac:dyDescent="0.25">
      <c r="B82" s="27" t="s">
        <v>593</v>
      </c>
      <c r="C82" s="27" t="s">
        <v>12</v>
      </c>
      <c r="D82" s="29">
        <v>0</v>
      </c>
      <c r="E82" s="29">
        <v>0</v>
      </c>
      <c r="F82" s="34" t="s">
        <v>523</v>
      </c>
    </row>
    <row r="83" spans="2:6" x14ac:dyDescent="0.25">
      <c r="B83" s="27" t="s">
        <v>594</v>
      </c>
      <c r="C83" s="27" t="s">
        <v>12</v>
      </c>
      <c r="D83" s="29">
        <v>1</v>
      </c>
      <c r="E83" s="29">
        <v>1</v>
      </c>
      <c r="F83" s="34" t="s">
        <v>523</v>
      </c>
    </row>
    <row r="84" spans="2:6" x14ac:dyDescent="0.25">
      <c r="B84" s="27" t="s">
        <v>595</v>
      </c>
      <c r="C84" s="27" t="s">
        <v>12</v>
      </c>
      <c r="D84" s="29">
        <v>0</v>
      </c>
      <c r="E84" s="29">
        <v>0</v>
      </c>
      <c r="F84" s="34" t="s">
        <v>523</v>
      </c>
    </row>
    <row r="85" spans="2:6" x14ac:dyDescent="0.25">
      <c r="B85" s="27" t="s">
        <v>596</v>
      </c>
      <c r="C85" s="27" t="s">
        <v>12</v>
      </c>
      <c r="D85" s="29">
        <v>0</v>
      </c>
      <c r="E85" s="29">
        <v>0</v>
      </c>
      <c r="F85" s="34" t="s">
        <v>523</v>
      </c>
    </row>
    <row r="86" spans="2:6" x14ac:dyDescent="0.25">
      <c r="B86" s="27" t="s">
        <v>597</v>
      </c>
      <c r="C86" s="27" t="s">
        <v>12</v>
      </c>
      <c r="D86" s="29">
        <v>1</v>
      </c>
      <c r="E86" s="29">
        <v>1</v>
      </c>
      <c r="F86" s="34" t="s">
        <v>523</v>
      </c>
    </row>
    <row r="87" spans="2:6" x14ac:dyDescent="0.25">
      <c r="B87" s="27" t="s">
        <v>598</v>
      </c>
      <c r="C87" s="27" t="s">
        <v>12</v>
      </c>
      <c r="D87" s="29">
        <v>0</v>
      </c>
      <c r="E87" s="29">
        <v>0</v>
      </c>
      <c r="F87" s="34" t="s">
        <v>523</v>
      </c>
    </row>
    <row r="88" spans="2:6" x14ac:dyDescent="0.25">
      <c r="B88" s="27" t="s">
        <v>599</v>
      </c>
      <c r="C88" s="27" t="s">
        <v>12</v>
      </c>
      <c r="D88" s="29">
        <v>0</v>
      </c>
      <c r="E88" s="29">
        <v>0</v>
      </c>
      <c r="F88" s="34" t="s">
        <v>523</v>
      </c>
    </row>
    <row r="89" spans="2:6" x14ac:dyDescent="0.25">
      <c r="B89" s="27" t="s">
        <v>600</v>
      </c>
      <c r="C89" s="27" t="s">
        <v>12</v>
      </c>
      <c r="D89" s="29">
        <v>0</v>
      </c>
      <c r="E89" s="29">
        <v>0</v>
      </c>
      <c r="F89" s="34" t="s">
        <v>523</v>
      </c>
    </row>
    <row r="90" spans="2:6" x14ac:dyDescent="0.25">
      <c r="B90" s="27" t="s">
        <v>601</v>
      </c>
      <c r="C90" s="27" t="s">
        <v>12</v>
      </c>
      <c r="D90" s="29">
        <v>0</v>
      </c>
      <c r="E90" s="29">
        <v>0</v>
      </c>
      <c r="F90" s="34" t="s">
        <v>523</v>
      </c>
    </row>
    <row r="91" spans="2:6" x14ac:dyDescent="0.25">
      <c r="B91" s="27" t="s">
        <v>602</v>
      </c>
      <c r="C91" s="27" t="s">
        <v>12</v>
      </c>
      <c r="D91" s="29">
        <v>1</v>
      </c>
      <c r="E91" s="29">
        <v>1</v>
      </c>
      <c r="F91" s="34" t="s">
        <v>523</v>
      </c>
    </row>
    <row r="92" spans="2:6" x14ac:dyDescent="0.25">
      <c r="B92" s="27" t="s">
        <v>603</v>
      </c>
      <c r="C92" s="27" t="s">
        <v>12</v>
      </c>
      <c r="D92" s="29">
        <v>2</v>
      </c>
      <c r="E92" s="29">
        <v>2</v>
      </c>
      <c r="F92" s="34" t="s">
        <v>523</v>
      </c>
    </row>
    <row r="93" spans="2:6" x14ac:dyDescent="0.25">
      <c r="B93" s="27" t="s">
        <v>604</v>
      </c>
      <c r="C93" s="27" t="s">
        <v>12</v>
      </c>
      <c r="D93" s="29">
        <v>0</v>
      </c>
      <c r="E93" s="29">
        <v>0</v>
      </c>
      <c r="F93" s="34" t="s">
        <v>523</v>
      </c>
    </row>
    <row r="94" spans="2:6" x14ac:dyDescent="0.25">
      <c r="B94" s="27" t="s">
        <v>605</v>
      </c>
      <c r="C94" s="27" t="s">
        <v>12</v>
      </c>
      <c r="D94" s="29">
        <v>0</v>
      </c>
      <c r="E94" s="29">
        <v>0</v>
      </c>
      <c r="F94" s="34" t="s">
        <v>523</v>
      </c>
    </row>
    <row r="95" spans="2:6" x14ac:dyDescent="0.25">
      <c r="B95" s="27" t="s">
        <v>606</v>
      </c>
      <c r="C95" s="27" t="s">
        <v>12</v>
      </c>
      <c r="D95" s="29">
        <v>0</v>
      </c>
      <c r="E95" s="29">
        <v>0</v>
      </c>
      <c r="F95" s="34" t="s">
        <v>523</v>
      </c>
    </row>
    <row r="96" spans="2:6" x14ac:dyDescent="0.25">
      <c r="B96" s="27" t="s">
        <v>607</v>
      </c>
      <c r="C96" s="27" t="s">
        <v>12</v>
      </c>
      <c r="D96" s="29">
        <v>1</v>
      </c>
      <c r="E96" s="29">
        <v>1</v>
      </c>
      <c r="F96" s="34" t="s">
        <v>523</v>
      </c>
    </row>
    <row r="97" spans="1:6" x14ac:dyDescent="0.25">
      <c r="B97" s="27" t="s">
        <v>608</v>
      </c>
      <c r="C97" s="27" t="s">
        <v>12</v>
      </c>
      <c r="D97" s="29">
        <v>1</v>
      </c>
      <c r="E97" s="29">
        <v>1</v>
      </c>
      <c r="F97" s="34" t="s">
        <v>523</v>
      </c>
    </row>
    <row r="98" spans="1:6" x14ac:dyDescent="0.25">
      <c r="B98" s="27" t="s">
        <v>609</v>
      </c>
      <c r="C98" s="27" t="s">
        <v>12</v>
      </c>
      <c r="D98" s="29">
        <v>1</v>
      </c>
      <c r="E98" s="29">
        <v>1</v>
      </c>
      <c r="F98" s="34" t="s">
        <v>523</v>
      </c>
    </row>
    <row r="99" spans="1:6" x14ac:dyDescent="0.25">
      <c r="B99" s="27" t="s">
        <v>610</v>
      </c>
      <c r="C99" s="27" t="s">
        <v>12</v>
      </c>
      <c r="D99" s="29">
        <v>2</v>
      </c>
      <c r="E99" s="29">
        <v>2</v>
      </c>
      <c r="F99" s="34" t="s">
        <v>523</v>
      </c>
    </row>
    <row r="100" spans="1:6" x14ac:dyDescent="0.25">
      <c r="B100" s="27" t="s">
        <v>611</v>
      </c>
      <c r="C100" s="27" t="s">
        <v>12</v>
      </c>
      <c r="D100" s="29">
        <v>1</v>
      </c>
      <c r="E100" s="29">
        <v>1</v>
      </c>
      <c r="F100" s="34" t="s">
        <v>523</v>
      </c>
    </row>
    <row r="101" spans="1:6" x14ac:dyDescent="0.25">
      <c r="B101" s="27" t="s">
        <v>612</v>
      </c>
      <c r="C101" s="27" t="s">
        <v>12</v>
      </c>
      <c r="D101" s="29">
        <v>3</v>
      </c>
      <c r="E101" s="29">
        <v>3</v>
      </c>
      <c r="F101" s="34" t="s">
        <v>523</v>
      </c>
    </row>
    <row r="102" spans="1:6" x14ac:dyDescent="0.25">
      <c r="B102" s="27" t="s">
        <v>613</v>
      </c>
      <c r="C102" s="27" t="s">
        <v>12</v>
      </c>
      <c r="D102" s="29">
        <v>1</v>
      </c>
      <c r="E102" s="29">
        <v>1</v>
      </c>
      <c r="F102" s="34" t="s">
        <v>523</v>
      </c>
    </row>
    <row r="103" spans="1:6" x14ac:dyDescent="0.25">
      <c r="B103" s="27" t="s">
        <v>614</v>
      </c>
      <c r="C103" s="27" t="s">
        <v>12</v>
      </c>
      <c r="D103" s="29">
        <v>1</v>
      </c>
      <c r="E103" s="29">
        <v>1</v>
      </c>
      <c r="F103" s="34" t="s">
        <v>523</v>
      </c>
    </row>
    <row r="104" spans="1:6" x14ac:dyDescent="0.25">
      <c r="B104" s="27" t="s">
        <v>615</v>
      </c>
      <c r="C104" s="27" t="s">
        <v>12</v>
      </c>
      <c r="D104" s="29">
        <v>2</v>
      </c>
      <c r="E104" s="29">
        <v>2</v>
      </c>
      <c r="F104" s="34" t="s">
        <v>523</v>
      </c>
    </row>
    <row r="105" spans="1:6" ht="15.75" thickBot="1" x14ac:dyDescent="0.3">
      <c r="B105" s="25" t="s">
        <v>616</v>
      </c>
      <c r="C105" s="25" t="s">
        <v>12</v>
      </c>
      <c r="D105" s="30">
        <v>1</v>
      </c>
      <c r="E105" s="30">
        <v>1</v>
      </c>
      <c r="F105" s="33" t="s">
        <v>523</v>
      </c>
    </row>
    <row r="108" spans="1:6" ht="15.75" thickBot="1" x14ac:dyDescent="0.3">
      <c r="A108" t="s">
        <v>37</v>
      </c>
    </row>
    <row r="109" spans="1:6" ht="15.75" thickBot="1" x14ac:dyDescent="0.3">
      <c r="B109" s="32" t="s">
        <v>31</v>
      </c>
      <c r="C109" s="32" t="s">
        <v>32</v>
      </c>
      <c r="D109" s="32" t="s">
        <v>38</v>
      </c>
      <c r="E109" s="32" t="s">
        <v>39</v>
      </c>
      <c r="F109" s="32" t="s">
        <v>520</v>
      </c>
    </row>
    <row r="110" spans="1:6" x14ac:dyDescent="0.25">
      <c r="B110" s="27" t="s">
        <v>43</v>
      </c>
      <c r="C110" s="27" t="s">
        <v>14</v>
      </c>
      <c r="D110" s="29">
        <v>10</v>
      </c>
      <c r="E110" s="27" t="s">
        <v>617</v>
      </c>
      <c r="F110" s="27" t="s">
        <v>618</v>
      </c>
    </row>
    <row r="111" spans="1:6" x14ac:dyDescent="0.25">
      <c r="B111" s="27" t="s">
        <v>44</v>
      </c>
      <c r="C111" s="27" t="s">
        <v>14</v>
      </c>
      <c r="D111" s="29">
        <v>0</v>
      </c>
      <c r="E111" s="27" t="s">
        <v>619</v>
      </c>
      <c r="F111" s="34" t="s">
        <v>523</v>
      </c>
    </row>
    <row r="112" spans="1:6" x14ac:dyDescent="0.25">
      <c r="B112" s="27" t="s">
        <v>45</v>
      </c>
      <c r="C112" s="27" t="s">
        <v>14</v>
      </c>
      <c r="D112" s="29">
        <v>0</v>
      </c>
      <c r="E112" s="27" t="s">
        <v>620</v>
      </c>
      <c r="F112" s="34" t="s">
        <v>523</v>
      </c>
    </row>
    <row r="113" spans="2:6" x14ac:dyDescent="0.25">
      <c r="B113" s="27" t="s">
        <v>46</v>
      </c>
      <c r="C113" s="27" t="s">
        <v>14</v>
      </c>
      <c r="D113" s="29">
        <v>0</v>
      </c>
      <c r="E113" s="27" t="s">
        <v>621</v>
      </c>
      <c r="F113" s="34" t="s">
        <v>523</v>
      </c>
    </row>
    <row r="114" spans="2:6" x14ac:dyDescent="0.25">
      <c r="B114" s="27" t="s">
        <v>47</v>
      </c>
      <c r="C114" s="27" t="s">
        <v>14</v>
      </c>
      <c r="D114" s="29">
        <v>0</v>
      </c>
      <c r="E114" s="27" t="s">
        <v>622</v>
      </c>
      <c r="F114" s="34" t="s">
        <v>523</v>
      </c>
    </row>
    <row r="115" spans="2:6" x14ac:dyDescent="0.25">
      <c r="B115" s="27" t="s">
        <v>48</v>
      </c>
      <c r="C115" s="27" t="s">
        <v>14</v>
      </c>
      <c r="D115" s="29">
        <v>0</v>
      </c>
      <c r="E115" s="27" t="s">
        <v>623</v>
      </c>
      <c r="F115" s="34" t="s">
        <v>523</v>
      </c>
    </row>
    <row r="116" spans="2:6" x14ac:dyDescent="0.25">
      <c r="B116" s="27" t="s">
        <v>49</v>
      </c>
      <c r="C116" s="27" t="s">
        <v>14</v>
      </c>
      <c r="D116" s="29">
        <v>0</v>
      </c>
      <c r="E116" s="27" t="s">
        <v>624</v>
      </c>
      <c r="F116" s="34" t="s">
        <v>523</v>
      </c>
    </row>
    <row r="117" spans="2:6" x14ac:dyDescent="0.25">
      <c r="B117" s="27" t="s">
        <v>50</v>
      </c>
      <c r="C117" s="27" t="s">
        <v>14</v>
      </c>
      <c r="D117" s="29">
        <v>0</v>
      </c>
      <c r="E117" s="27" t="s">
        <v>625</v>
      </c>
      <c r="F117" s="34" t="s">
        <v>523</v>
      </c>
    </row>
    <row r="118" spans="2:6" x14ac:dyDescent="0.25">
      <c r="B118" s="27" t="s">
        <v>51</v>
      </c>
      <c r="C118" s="27" t="s">
        <v>14</v>
      </c>
      <c r="D118" s="29">
        <v>0</v>
      </c>
      <c r="E118" s="27" t="s">
        <v>626</v>
      </c>
      <c r="F118" s="34" t="s">
        <v>523</v>
      </c>
    </row>
    <row r="119" spans="2:6" x14ac:dyDescent="0.25">
      <c r="B119" s="27" t="s">
        <v>52</v>
      </c>
      <c r="C119" s="27" t="s">
        <v>14</v>
      </c>
      <c r="D119" s="29">
        <v>0</v>
      </c>
      <c r="E119" s="27" t="s">
        <v>627</v>
      </c>
      <c r="F119" s="34" t="s">
        <v>523</v>
      </c>
    </row>
    <row r="120" spans="2:6" x14ac:dyDescent="0.25">
      <c r="B120" s="27" t="s">
        <v>53</v>
      </c>
      <c r="C120" s="27" t="s">
        <v>14</v>
      </c>
      <c r="D120" s="29">
        <v>0</v>
      </c>
      <c r="E120" s="27" t="s">
        <v>628</v>
      </c>
      <c r="F120" s="34" t="s">
        <v>523</v>
      </c>
    </row>
    <row r="121" spans="2:6" x14ac:dyDescent="0.25">
      <c r="B121" s="27" t="s">
        <v>54</v>
      </c>
      <c r="C121" s="27" t="s">
        <v>14</v>
      </c>
      <c r="D121" s="29">
        <v>0</v>
      </c>
      <c r="E121" s="27" t="s">
        <v>629</v>
      </c>
      <c r="F121" s="34" t="s">
        <v>523</v>
      </c>
    </row>
    <row r="122" spans="2:6" x14ac:dyDescent="0.25">
      <c r="B122" s="27" t="s">
        <v>55</v>
      </c>
      <c r="C122" s="27" t="s">
        <v>14</v>
      </c>
      <c r="D122" s="29">
        <v>0</v>
      </c>
      <c r="E122" s="27" t="s">
        <v>630</v>
      </c>
      <c r="F122" s="34" t="s">
        <v>523</v>
      </c>
    </row>
    <row r="123" spans="2:6" x14ac:dyDescent="0.25">
      <c r="B123" s="27" t="s">
        <v>56</v>
      </c>
      <c r="C123" s="27" t="s">
        <v>14</v>
      </c>
      <c r="D123" s="29">
        <v>0</v>
      </c>
      <c r="E123" s="27" t="s">
        <v>631</v>
      </c>
      <c r="F123" s="34" t="s">
        <v>523</v>
      </c>
    </row>
    <row r="124" spans="2:6" x14ac:dyDescent="0.25">
      <c r="B124" s="27" t="s">
        <v>57</v>
      </c>
      <c r="C124" s="27" t="s">
        <v>14</v>
      </c>
      <c r="D124" s="29">
        <v>0</v>
      </c>
      <c r="E124" s="27" t="s">
        <v>632</v>
      </c>
      <c r="F124" s="34" t="s">
        <v>523</v>
      </c>
    </row>
    <row r="125" spans="2:6" x14ac:dyDescent="0.25">
      <c r="B125" s="27" t="s">
        <v>58</v>
      </c>
      <c r="C125" s="27" t="s">
        <v>14</v>
      </c>
      <c r="D125" s="29">
        <v>0</v>
      </c>
      <c r="E125" s="27" t="s">
        <v>633</v>
      </c>
      <c r="F125" s="34" t="s">
        <v>523</v>
      </c>
    </row>
    <row r="126" spans="2:6" x14ac:dyDescent="0.25">
      <c r="B126" s="27" t="s">
        <v>59</v>
      </c>
      <c r="C126" s="27" t="s">
        <v>14</v>
      </c>
      <c r="D126" s="29">
        <v>0</v>
      </c>
      <c r="E126" s="27" t="s">
        <v>634</v>
      </c>
      <c r="F126" s="34" t="s">
        <v>523</v>
      </c>
    </row>
    <row r="127" spans="2:6" x14ac:dyDescent="0.25">
      <c r="B127" s="27" t="s">
        <v>60</v>
      </c>
      <c r="C127" s="27" t="s">
        <v>14</v>
      </c>
      <c r="D127" s="29">
        <v>0</v>
      </c>
      <c r="E127" s="27" t="s">
        <v>635</v>
      </c>
      <c r="F127" s="34" t="s">
        <v>523</v>
      </c>
    </row>
    <row r="128" spans="2:6" x14ac:dyDescent="0.25">
      <c r="B128" s="27" t="s">
        <v>61</v>
      </c>
      <c r="C128" s="27" t="s">
        <v>14</v>
      </c>
      <c r="D128" s="29">
        <v>20</v>
      </c>
      <c r="E128" s="27" t="s">
        <v>636</v>
      </c>
      <c r="F128" s="34" t="s">
        <v>523</v>
      </c>
    </row>
    <row r="129" spans="2:6" x14ac:dyDescent="0.25">
      <c r="B129" s="27" t="s">
        <v>62</v>
      </c>
      <c r="C129" s="27" t="s">
        <v>14</v>
      </c>
      <c r="D129" s="29">
        <v>0</v>
      </c>
      <c r="E129" s="27" t="s">
        <v>637</v>
      </c>
      <c r="F129" s="34" t="s">
        <v>523</v>
      </c>
    </row>
    <row r="130" spans="2:6" x14ac:dyDescent="0.25">
      <c r="B130" s="27" t="s">
        <v>63</v>
      </c>
      <c r="C130" s="27" t="s">
        <v>14</v>
      </c>
      <c r="D130" s="29">
        <v>0</v>
      </c>
      <c r="E130" s="27" t="s">
        <v>638</v>
      </c>
      <c r="F130" s="34" t="s">
        <v>523</v>
      </c>
    </row>
    <row r="131" spans="2:6" x14ac:dyDescent="0.25">
      <c r="B131" s="27" t="s">
        <v>64</v>
      </c>
      <c r="C131" s="27" t="s">
        <v>14</v>
      </c>
      <c r="D131" s="29">
        <v>0</v>
      </c>
      <c r="E131" s="27" t="s">
        <v>639</v>
      </c>
      <c r="F131" s="34" t="s">
        <v>523</v>
      </c>
    </row>
    <row r="132" spans="2:6" x14ac:dyDescent="0.25">
      <c r="B132" s="27" t="s">
        <v>65</v>
      </c>
      <c r="C132" s="27" t="s">
        <v>14</v>
      </c>
      <c r="D132" s="29">
        <v>0</v>
      </c>
      <c r="E132" s="27" t="s">
        <v>640</v>
      </c>
      <c r="F132" s="34" t="s">
        <v>523</v>
      </c>
    </row>
    <row r="133" spans="2:6" x14ac:dyDescent="0.25">
      <c r="B133" s="27" t="s">
        <v>66</v>
      </c>
      <c r="C133" s="27" t="s">
        <v>641</v>
      </c>
      <c r="D133" s="29">
        <v>0</v>
      </c>
      <c r="E133" s="27" t="s">
        <v>642</v>
      </c>
      <c r="F133" s="34" t="s">
        <v>523</v>
      </c>
    </row>
    <row r="134" spans="2:6" x14ac:dyDescent="0.25">
      <c r="B134" s="27" t="s">
        <v>68</v>
      </c>
      <c r="C134" s="27" t="s">
        <v>14</v>
      </c>
      <c r="D134" s="29">
        <v>0</v>
      </c>
      <c r="E134" s="27" t="s">
        <v>643</v>
      </c>
      <c r="F134" s="34" t="s">
        <v>523</v>
      </c>
    </row>
    <row r="135" spans="2:6" x14ac:dyDescent="0.25">
      <c r="B135" s="27" t="s">
        <v>69</v>
      </c>
      <c r="C135" s="27" t="s">
        <v>14</v>
      </c>
      <c r="D135" s="29">
        <v>20</v>
      </c>
      <c r="E135" s="27" t="s">
        <v>644</v>
      </c>
      <c r="F135" s="34" t="s">
        <v>523</v>
      </c>
    </row>
    <row r="136" spans="2:6" x14ac:dyDescent="0.25">
      <c r="B136" s="27" t="s">
        <v>70</v>
      </c>
      <c r="C136" s="27" t="s">
        <v>14</v>
      </c>
      <c r="D136" s="29">
        <v>0</v>
      </c>
      <c r="E136" s="27" t="s">
        <v>645</v>
      </c>
      <c r="F136" s="34" t="s">
        <v>523</v>
      </c>
    </row>
    <row r="137" spans="2:6" x14ac:dyDescent="0.25">
      <c r="B137" s="27" t="s">
        <v>71</v>
      </c>
      <c r="C137" s="27" t="s">
        <v>14</v>
      </c>
      <c r="D137" s="29">
        <v>20</v>
      </c>
      <c r="E137" s="27" t="s">
        <v>646</v>
      </c>
      <c r="F137" s="34" t="s">
        <v>523</v>
      </c>
    </row>
    <row r="138" spans="2:6" x14ac:dyDescent="0.25">
      <c r="B138" s="27" t="s">
        <v>72</v>
      </c>
      <c r="C138" s="27" t="s">
        <v>14</v>
      </c>
      <c r="D138" s="29">
        <v>20</v>
      </c>
      <c r="E138" s="27" t="s">
        <v>647</v>
      </c>
      <c r="F138" s="34" t="s">
        <v>523</v>
      </c>
    </row>
    <row r="139" spans="2:6" x14ac:dyDescent="0.25">
      <c r="B139" s="27" t="s">
        <v>73</v>
      </c>
      <c r="C139" s="27" t="s">
        <v>14</v>
      </c>
      <c r="D139" s="29">
        <v>0</v>
      </c>
      <c r="E139" s="27" t="s">
        <v>648</v>
      </c>
      <c r="F139" s="34" t="s">
        <v>523</v>
      </c>
    </row>
    <row r="140" spans="2:6" x14ac:dyDescent="0.25">
      <c r="B140" s="27" t="s">
        <v>74</v>
      </c>
      <c r="C140" s="27" t="s">
        <v>14</v>
      </c>
      <c r="D140" s="29">
        <v>20</v>
      </c>
      <c r="E140" s="27" t="s">
        <v>649</v>
      </c>
      <c r="F140" s="34" t="s">
        <v>523</v>
      </c>
    </row>
    <row r="141" spans="2:6" x14ac:dyDescent="0.25">
      <c r="B141" s="27" t="s">
        <v>75</v>
      </c>
      <c r="C141" s="27" t="s">
        <v>14</v>
      </c>
      <c r="D141" s="29">
        <v>0</v>
      </c>
      <c r="E141" s="27" t="s">
        <v>650</v>
      </c>
      <c r="F141" s="34" t="s">
        <v>523</v>
      </c>
    </row>
    <row r="142" spans="2:6" x14ac:dyDescent="0.25">
      <c r="B142" s="27" t="s">
        <v>76</v>
      </c>
      <c r="C142" s="27" t="s">
        <v>651</v>
      </c>
      <c r="D142" s="29">
        <v>20</v>
      </c>
      <c r="E142" s="27" t="s">
        <v>652</v>
      </c>
      <c r="F142" s="34" t="s">
        <v>523</v>
      </c>
    </row>
    <row r="143" spans="2:6" x14ac:dyDescent="0.25">
      <c r="B143" s="27" t="s">
        <v>78</v>
      </c>
      <c r="C143" s="27" t="s">
        <v>14</v>
      </c>
      <c r="D143" s="29">
        <v>20</v>
      </c>
      <c r="E143" s="27" t="s">
        <v>653</v>
      </c>
      <c r="F143" s="34" t="s">
        <v>523</v>
      </c>
    </row>
    <row r="144" spans="2:6" x14ac:dyDescent="0.25">
      <c r="B144" s="27" t="s">
        <v>79</v>
      </c>
      <c r="C144" s="27" t="s">
        <v>14</v>
      </c>
      <c r="D144" s="29">
        <v>0</v>
      </c>
      <c r="E144" s="27" t="s">
        <v>654</v>
      </c>
      <c r="F144" s="34" t="s">
        <v>523</v>
      </c>
    </row>
    <row r="145" spans="2:6" x14ac:dyDescent="0.25">
      <c r="B145" s="27" t="s">
        <v>80</v>
      </c>
      <c r="C145" s="27" t="s">
        <v>14</v>
      </c>
      <c r="D145" s="29">
        <v>20</v>
      </c>
      <c r="E145" s="27" t="s">
        <v>655</v>
      </c>
      <c r="F145" s="34" t="s">
        <v>523</v>
      </c>
    </row>
    <row r="146" spans="2:6" x14ac:dyDescent="0.25">
      <c r="B146" s="27" t="s">
        <v>81</v>
      </c>
      <c r="C146" s="27" t="s">
        <v>14</v>
      </c>
      <c r="D146" s="29">
        <v>0</v>
      </c>
      <c r="E146" s="27" t="s">
        <v>656</v>
      </c>
      <c r="F146" s="34" t="s">
        <v>523</v>
      </c>
    </row>
    <row r="147" spans="2:6" x14ac:dyDescent="0.25">
      <c r="B147" s="27" t="s">
        <v>82</v>
      </c>
      <c r="C147" s="27" t="s">
        <v>14</v>
      </c>
      <c r="D147" s="29">
        <v>0</v>
      </c>
      <c r="E147" s="27" t="s">
        <v>657</v>
      </c>
      <c r="F147" s="34" t="s">
        <v>523</v>
      </c>
    </row>
    <row r="148" spans="2:6" x14ac:dyDescent="0.25">
      <c r="B148" s="27" t="s">
        <v>83</v>
      </c>
      <c r="C148" s="27" t="s">
        <v>14</v>
      </c>
      <c r="D148" s="29">
        <v>0</v>
      </c>
      <c r="E148" s="27" t="s">
        <v>658</v>
      </c>
      <c r="F148" s="34" t="s">
        <v>523</v>
      </c>
    </row>
    <row r="149" spans="2:6" x14ac:dyDescent="0.25">
      <c r="B149" s="27" t="s">
        <v>84</v>
      </c>
      <c r="C149" s="27" t="s">
        <v>14</v>
      </c>
      <c r="D149" s="29">
        <v>20</v>
      </c>
      <c r="E149" s="27" t="s">
        <v>659</v>
      </c>
      <c r="F149" s="34" t="s">
        <v>523</v>
      </c>
    </row>
    <row r="150" spans="2:6" x14ac:dyDescent="0.25">
      <c r="B150" s="27" t="s">
        <v>85</v>
      </c>
      <c r="C150" s="27" t="s">
        <v>14</v>
      </c>
      <c r="D150" s="29">
        <v>180</v>
      </c>
      <c r="E150" s="27" t="s">
        <v>660</v>
      </c>
      <c r="F150" s="27" t="s">
        <v>618</v>
      </c>
    </row>
    <row r="151" spans="2:6" x14ac:dyDescent="0.25">
      <c r="B151" s="27" t="s">
        <v>86</v>
      </c>
      <c r="C151" s="27" t="s">
        <v>14</v>
      </c>
      <c r="D151" s="29">
        <v>20</v>
      </c>
      <c r="E151" s="27" t="s">
        <v>661</v>
      </c>
      <c r="F151" s="34" t="s">
        <v>523</v>
      </c>
    </row>
    <row r="152" spans="2:6" x14ac:dyDescent="0.25">
      <c r="B152" s="27" t="s">
        <v>87</v>
      </c>
      <c r="C152" s="27" t="s">
        <v>14</v>
      </c>
      <c r="D152" s="29">
        <v>0</v>
      </c>
      <c r="E152" s="27" t="s">
        <v>662</v>
      </c>
      <c r="F152" s="34" t="s">
        <v>523</v>
      </c>
    </row>
    <row r="153" spans="2:6" x14ac:dyDescent="0.25">
      <c r="B153" s="27" t="s">
        <v>88</v>
      </c>
      <c r="C153" s="27" t="s">
        <v>14</v>
      </c>
      <c r="D153" s="29">
        <v>20</v>
      </c>
      <c r="E153" s="27" t="s">
        <v>663</v>
      </c>
      <c r="F153" s="34" t="s">
        <v>523</v>
      </c>
    </row>
    <row r="154" spans="2:6" x14ac:dyDescent="0.25">
      <c r="B154" s="27" t="s">
        <v>89</v>
      </c>
      <c r="C154" s="27" t="s">
        <v>14</v>
      </c>
      <c r="D154" s="29">
        <v>20</v>
      </c>
      <c r="E154" s="27" t="s">
        <v>664</v>
      </c>
      <c r="F154" s="34" t="s">
        <v>523</v>
      </c>
    </row>
    <row r="155" spans="2:6" x14ac:dyDescent="0.25">
      <c r="B155" s="27" t="s">
        <v>90</v>
      </c>
      <c r="C155" s="27" t="s">
        <v>14</v>
      </c>
      <c r="D155" s="29">
        <v>0</v>
      </c>
      <c r="E155" s="27" t="s">
        <v>665</v>
      </c>
      <c r="F155" s="34" t="s">
        <v>523</v>
      </c>
    </row>
    <row r="156" spans="2:6" x14ac:dyDescent="0.25">
      <c r="B156" s="27" t="s">
        <v>91</v>
      </c>
      <c r="C156" s="27" t="s">
        <v>14</v>
      </c>
      <c r="D156" s="29">
        <v>0</v>
      </c>
      <c r="E156" s="27" t="s">
        <v>666</v>
      </c>
      <c r="F156" s="34" t="s">
        <v>523</v>
      </c>
    </row>
    <row r="157" spans="2:6" x14ac:dyDescent="0.25">
      <c r="B157" s="27" t="s">
        <v>92</v>
      </c>
      <c r="C157" s="27" t="s">
        <v>14</v>
      </c>
      <c r="D157" s="29">
        <v>20</v>
      </c>
      <c r="E157" s="27" t="s">
        <v>667</v>
      </c>
      <c r="F157" s="34" t="s">
        <v>523</v>
      </c>
    </row>
    <row r="158" spans="2:6" x14ac:dyDescent="0.25">
      <c r="B158" s="27" t="s">
        <v>93</v>
      </c>
      <c r="C158" s="27" t="s">
        <v>14</v>
      </c>
      <c r="D158" s="29">
        <v>40</v>
      </c>
      <c r="E158" s="27" t="s">
        <v>668</v>
      </c>
      <c r="F158" s="34" t="s">
        <v>523</v>
      </c>
    </row>
    <row r="159" spans="2:6" x14ac:dyDescent="0.25">
      <c r="B159" s="27" t="s">
        <v>94</v>
      </c>
      <c r="C159" s="27" t="s">
        <v>14</v>
      </c>
      <c r="D159" s="29">
        <v>0</v>
      </c>
      <c r="E159" s="27" t="s">
        <v>669</v>
      </c>
      <c r="F159" s="34" t="s">
        <v>523</v>
      </c>
    </row>
    <row r="160" spans="2:6" x14ac:dyDescent="0.25">
      <c r="B160" s="27" t="s">
        <v>95</v>
      </c>
      <c r="C160" s="27" t="s">
        <v>14</v>
      </c>
      <c r="D160" s="29">
        <v>20</v>
      </c>
      <c r="E160" s="27" t="s">
        <v>670</v>
      </c>
      <c r="F160" s="34" t="s">
        <v>523</v>
      </c>
    </row>
    <row r="161" spans="2:6" x14ac:dyDescent="0.25">
      <c r="B161" s="27" t="s">
        <v>96</v>
      </c>
      <c r="C161" s="27" t="s">
        <v>14</v>
      </c>
      <c r="D161" s="29">
        <v>0</v>
      </c>
      <c r="E161" s="27" t="s">
        <v>671</v>
      </c>
      <c r="F161" s="34" t="s">
        <v>523</v>
      </c>
    </row>
    <row r="162" spans="2:6" x14ac:dyDescent="0.25">
      <c r="B162" s="27" t="s">
        <v>97</v>
      </c>
      <c r="C162" s="27" t="s">
        <v>14</v>
      </c>
      <c r="D162" s="29">
        <v>20</v>
      </c>
      <c r="E162" s="27" t="s">
        <v>672</v>
      </c>
      <c r="F162" s="34" t="s">
        <v>523</v>
      </c>
    </row>
    <row r="163" spans="2:6" x14ac:dyDescent="0.25">
      <c r="B163" s="27" t="s">
        <v>98</v>
      </c>
      <c r="C163" s="27" t="s">
        <v>14</v>
      </c>
      <c r="D163" s="29">
        <v>20</v>
      </c>
      <c r="E163" s="27" t="s">
        <v>673</v>
      </c>
      <c r="F163" s="34" t="s">
        <v>523</v>
      </c>
    </row>
    <row r="164" spans="2:6" x14ac:dyDescent="0.25">
      <c r="B164" s="27" t="s">
        <v>99</v>
      </c>
      <c r="C164" s="27" t="s">
        <v>14</v>
      </c>
      <c r="D164" s="29">
        <v>0</v>
      </c>
      <c r="E164" s="27" t="s">
        <v>674</v>
      </c>
      <c r="F164" s="34" t="s">
        <v>523</v>
      </c>
    </row>
    <row r="165" spans="2:6" x14ac:dyDescent="0.25">
      <c r="B165" s="27" t="s">
        <v>100</v>
      </c>
      <c r="C165" s="27" t="s">
        <v>14</v>
      </c>
      <c r="D165" s="29">
        <v>0</v>
      </c>
      <c r="E165" s="27" t="s">
        <v>675</v>
      </c>
      <c r="F165" s="34" t="s">
        <v>523</v>
      </c>
    </row>
    <row r="166" spans="2:6" x14ac:dyDescent="0.25">
      <c r="B166" s="27" t="s">
        <v>101</v>
      </c>
      <c r="C166" s="27" t="s">
        <v>14</v>
      </c>
      <c r="D166" s="29">
        <v>20</v>
      </c>
      <c r="E166" s="27" t="s">
        <v>676</v>
      </c>
      <c r="F166" s="34" t="s">
        <v>523</v>
      </c>
    </row>
    <row r="167" spans="2:6" x14ac:dyDescent="0.25">
      <c r="B167" s="27" t="s">
        <v>102</v>
      </c>
      <c r="C167" s="27" t="s">
        <v>14</v>
      </c>
      <c r="D167" s="29">
        <v>20</v>
      </c>
      <c r="E167" s="27" t="s">
        <v>677</v>
      </c>
      <c r="F167" s="34" t="s">
        <v>523</v>
      </c>
    </row>
    <row r="168" spans="2:6" x14ac:dyDescent="0.25">
      <c r="B168" s="27" t="s">
        <v>103</v>
      </c>
      <c r="C168" s="27" t="s">
        <v>14</v>
      </c>
      <c r="D168" s="29">
        <v>0</v>
      </c>
      <c r="E168" s="27" t="s">
        <v>678</v>
      </c>
      <c r="F168" s="34" t="s">
        <v>523</v>
      </c>
    </row>
    <row r="169" spans="2:6" x14ac:dyDescent="0.25">
      <c r="B169" s="27" t="s">
        <v>104</v>
      </c>
      <c r="C169" s="27" t="s">
        <v>14</v>
      </c>
      <c r="D169" s="29">
        <v>0</v>
      </c>
      <c r="E169" s="27" t="s">
        <v>679</v>
      </c>
      <c r="F169" s="34" t="s">
        <v>523</v>
      </c>
    </row>
    <row r="170" spans="2:6" x14ac:dyDescent="0.25">
      <c r="B170" s="27" t="s">
        <v>105</v>
      </c>
      <c r="C170" s="27" t="s">
        <v>14</v>
      </c>
      <c r="D170" s="29">
        <v>20</v>
      </c>
      <c r="E170" s="27" t="s">
        <v>680</v>
      </c>
      <c r="F170" s="34" t="s">
        <v>523</v>
      </c>
    </row>
    <row r="171" spans="2:6" x14ac:dyDescent="0.25">
      <c r="B171" s="27" t="s">
        <v>106</v>
      </c>
      <c r="C171" s="27" t="s">
        <v>14</v>
      </c>
      <c r="D171" s="29">
        <v>20</v>
      </c>
      <c r="E171" s="27" t="s">
        <v>681</v>
      </c>
      <c r="F171" s="34" t="s">
        <v>523</v>
      </c>
    </row>
    <row r="172" spans="2:6" x14ac:dyDescent="0.25">
      <c r="B172" s="27" t="s">
        <v>107</v>
      </c>
      <c r="C172" s="27" t="s">
        <v>14</v>
      </c>
      <c r="D172" s="29">
        <v>0</v>
      </c>
      <c r="E172" s="27" t="s">
        <v>682</v>
      </c>
      <c r="F172" s="34" t="s">
        <v>523</v>
      </c>
    </row>
    <row r="173" spans="2:6" x14ac:dyDescent="0.25">
      <c r="B173" s="27" t="s">
        <v>108</v>
      </c>
      <c r="C173" s="27" t="s">
        <v>14</v>
      </c>
      <c r="D173" s="29">
        <v>0</v>
      </c>
      <c r="E173" s="27" t="s">
        <v>683</v>
      </c>
      <c r="F173" s="34" t="s">
        <v>523</v>
      </c>
    </row>
    <row r="174" spans="2:6" x14ac:dyDescent="0.25">
      <c r="B174" s="27" t="s">
        <v>109</v>
      </c>
      <c r="C174" s="27" t="s">
        <v>14</v>
      </c>
      <c r="D174" s="29">
        <v>0</v>
      </c>
      <c r="E174" s="27" t="s">
        <v>684</v>
      </c>
      <c r="F174" s="34" t="s">
        <v>523</v>
      </c>
    </row>
    <row r="175" spans="2:6" x14ac:dyDescent="0.25">
      <c r="B175" s="27" t="s">
        <v>110</v>
      </c>
      <c r="C175" s="27" t="s">
        <v>14</v>
      </c>
      <c r="D175" s="29">
        <v>0</v>
      </c>
      <c r="E175" s="27" t="s">
        <v>685</v>
      </c>
      <c r="F175" s="34" t="s">
        <v>523</v>
      </c>
    </row>
    <row r="176" spans="2:6" x14ac:dyDescent="0.25">
      <c r="B176" s="27" t="s">
        <v>111</v>
      </c>
      <c r="C176" s="27" t="s">
        <v>14</v>
      </c>
      <c r="D176" s="29">
        <v>0</v>
      </c>
      <c r="E176" s="27" t="s">
        <v>686</v>
      </c>
      <c r="F176" s="34" t="s">
        <v>523</v>
      </c>
    </row>
    <row r="177" spans="2:6" x14ac:dyDescent="0.25">
      <c r="B177" s="27" t="s">
        <v>112</v>
      </c>
      <c r="C177" s="27" t="s">
        <v>14</v>
      </c>
      <c r="D177" s="29">
        <v>20</v>
      </c>
      <c r="E177" s="27" t="s">
        <v>687</v>
      </c>
      <c r="F177" s="34" t="s">
        <v>523</v>
      </c>
    </row>
    <row r="178" spans="2:6" x14ac:dyDescent="0.25">
      <c r="B178" s="27" t="s">
        <v>113</v>
      </c>
      <c r="C178" s="27" t="s">
        <v>14</v>
      </c>
      <c r="D178" s="29">
        <v>0</v>
      </c>
      <c r="E178" s="27" t="s">
        <v>688</v>
      </c>
      <c r="F178" s="34" t="s">
        <v>523</v>
      </c>
    </row>
    <row r="179" spans="2:6" x14ac:dyDescent="0.25">
      <c r="B179" s="27" t="s">
        <v>114</v>
      </c>
      <c r="C179" s="27" t="s">
        <v>14</v>
      </c>
      <c r="D179" s="29">
        <v>0</v>
      </c>
      <c r="E179" s="27" t="s">
        <v>689</v>
      </c>
      <c r="F179" s="34" t="s">
        <v>523</v>
      </c>
    </row>
    <row r="180" spans="2:6" x14ac:dyDescent="0.25">
      <c r="B180" s="27" t="s">
        <v>115</v>
      </c>
      <c r="C180" s="27" t="s">
        <v>14</v>
      </c>
      <c r="D180" s="29">
        <v>20</v>
      </c>
      <c r="E180" s="27" t="s">
        <v>690</v>
      </c>
      <c r="F180" s="34" t="s">
        <v>523</v>
      </c>
    </row>
    <row r="181" spans="2:6" x14ac:dyDescent="0.25">
      <c r="B181" s="27" t="s">
        <v>116</v>
      </c>
      <c r="C181" s="27" t="s">
        <v>14</v>
      </c>
      <c r="D181" s="29">
        <v>0</v>
      </c>
      <c r="E181" s="27" t="s">
        <v>691</v>
      </c>
      <c r="F181" s="34" t="s">
        <v>523</v>
      </c>
    </row>
    <row r="182" spans="2:6" x14ac:dyDescent="0.25">
      <c r="B182" s="27" t="s">
        <v>117</v>
      </c>
      <c r="C182" s="27" t="s">
        <v>14</v>
      </c>
      <c r="D182" s="29">
        <v>0</v>
      </c>
      <c r="E182" s="27" t="s">
        <v>692</v>
      </c>
      <c r="F182" s="34" t="s">
        <v>523</v>
      </c>
    </row>
    <row r="183" spans="2:6" x14ac:dyDescent="0.25">
      <c r="B183" s="27" t="s">
        <v>118</v>
      </c>
      <c r="C183" s="27" t="s">
        <v>14</v>
      </c>
      <c r="D183" s="29">
        <v>20</v>
      </c>
      <c r="E183" s="27" t="s">
        <v>693</v>
      </c>
      <c r="F183" s="34" t="s">
        <v>523</v>
      </c>
    </row>
    <row r="184" spans="2:6" x14ac:dyDescent="0.25">
      <c r="B184" s="27" t="s">
        <v>119</v>
      </c>
      <c r="C184" s="27" t="s">
        <v>14</v>
      </c>
      <c r="D184" s="29">
        <v>0</v>
      </c>
      <c r="E184" s="27" t="s">
        <v>694</v>
      </c>
      <c r="F184" s="34" t="s">
        <v>523</v>
      </c>
    </row>
    <row r="185" spans="2:6" x14ac:dyDescent="0.25">
      <c r="B185" s="27" t="s">
        <v>120</v>
      </c>
      <c r="C185" s="27" t="s">
        <v>14</v>
      </c>
      <c r="D185" s="29">
        <v>0</v>
      </c>
      <c r="E185" s="27" t="s">
        <v>695</v>
      </c>
      <c r="F185" s="34" t="s">
        <v>523</v>
      </c>
    </row>
    <row r="186" spans="2:6" x14ac:dyDescent="0.25">
      <c r="B186" s="27" t="s">
        <v>121</v>
      </c>
      <c r="C186" s="27" t="s">
        <v>14</v>
      </c>
      <c r="D186" s="29">
        <v>0</v>
      </c>
      <c r="E186" s="27" t="s">
        <v>696</v>
      </c>
      <c r="F186" s="34" t="s">
        <v>523</v>
      </c>
    </row>
    <row r="187" spans="2:6" x14ac:dyDescent="0.25">
      <c r="B187" s="27" t="s">
        <v>122</v>
      </c>
      <c r="C187" s="27" t="s">
        <v>14</v>
      </c>
      <c r="D187" s="29">
        <v>0</v>
      </c>
      <c r="E187" s="27" t="s">
        <v>697</v>
      </c>
      <c r="F187" s="34" t="s">
        <v>523</v>
      </c>
    </row>
    <row r="188" spans="2:6" x14ac:dyDescent="0.25">
      <c r="B188" s="27" t="s">
        <v>123</v>
      </c>
      <c r="C188" s="27" t="s">
        <v>14</v>
      </c>
      <c r="D188" s="29">
        <v>20</v>
      </c>
      <c r="E188" s="27" t="s">
        <v>698</v>
      </c>
      <c r="F188" s="34" t="s">
        <v>523</v>
      </c>
    </row>
    <row r="189" spans="2:6" x14ac:dyDescent="0.25">
      <c r="B189" s="27" t="s">
        <v>124</v>
      </c>
      <c r="C189" s="27" t="s">
        <v>14</v>
      </c>
      <c r="D189" s="29">
        <v>40</v>
      </c>
      <c r="E189" s="27" t="s">
        <v>699</v>
      </c>
      <c r="F189" s="34" t="s">
        <v>523</v>
      </c>
    </row>
    <row r="190" spans="2:6" x14ac:dyDescent="0.25">
      <c r="B190" s="27" t="s">
        <v>125</v>
      </c>
      <c r="C190" s="27" t="s">
        <v>14</v>
      </c>
      <c r="D190" s="29">
        <v>0</v>
      </c>
      <c r="E190" s="27" t="s">
        <v>700</v>
      </c>
      <c r="F190" s="34" t="s">
        <v>523</v>
      </c>
    </row>
    <row r="191" spans="2:6" x14ac:dyDescent="0.25">
      <c r="B191" s="27" t="s">
        <v>126</v>
      </c>
      <c r="C191" s="27" t="s">
        <v>14</v>
      </c>
      <c r="D191" s="29">
        <v>0</v>
      </c>
      <c r="E191" s="27" t="s">
        <v>701</v>
      </c>
      <c r="F191" s="34" t="s">
        <v>523</v>
      </c>
    </row>
    <row r="192" spans="2:6" x14ac:dyDescent="0.25">
      <c r="B192" s="27" t="s">
        <v>127</v>
      </c>
      <c r="C192" s="27" t="s">
        <v>14</v>
      </c>
      <c r="D192" s="29">
        <v>0</v>
      </c>
      <c r="E192" s="27" t="s">
        <v>702</v>
      </c>
      <c r="F192" s="34" t="s">
        <v>523</v>
      </c>
    </row>
    <row r="193" spans="2:6" x14ac:dyDescent="0.25">
      <c r="B193" s="27" t="s">
        <v>128</v>
      </c>
      <c r="C193" s="27" t="s">
        <v>14</v>
      </c>
      <c r="D193" s="29">
        <v>20</v>
      </c>
      <c r="E193" s="27" t="s">
        <v>703</v>
      </c>
      <c r="F193" s="34" t="s">
        <v>523</v>
      </c>
    </row>
    <row r="194" spans="2:6" x14ac:dyDescent="0.25">
      <c r="B194" s="27" t="s">
        <v>129</v>
      </c>
      <c r="C194" s="27" t="s">
        <v>14</v>
      </c>
      <c r="D194" s="29">
        <v>20</v>
      </c>
      <c r="E194" s="27" t="s">
        <v>704</v>
      </c>
      <c r="F194" s="34" t="s">
        <v>523</v>
      </c>
    </row>
    <row r="195" spans="2:6" x14ac:dyDescent="0.25">
      <c r="B195" s="27" t="s">
        <v>130</v>
      </c>
      <c r="C195" s="27" t="s">
        <v>14</v>
      </c>
      <c r="D195" s="29">
        <v>20</v>
      </c>
      <c r="E195" s="27" t="s">
        <v>705</v>
      </c>
      <c r="F195" s="34" t="s">
        <v>523</v>
      </c>
    </row>
    <row r="196" spans="2:6" x14ac:dyDescent="0.25">
      <c r="B196" s="27" t="s">
        <v>131</v>
      </c>
      <c r="C196" s="27" t="s">
        <v>14</v>
      </c>
      <c r="D196" s="29">
        <v>40</v>
      </c>
      <c r="E196" s="27" t="s">
        <v>706</v>
      </c>
      <c r="F196" s="34" t="s">
        <v>523</v>
      </c>
    </row>
    <row r="197" spans="2:6" x14ac:dyDescent="0.25">
      <c r="B197" s="27" t="s">
        <v>132</v>
      </c>
      <c r="C197" s="27" t="s">
        <v>14</v>
      </c>
      <c r="D197" s="29">
        <v>20</v>
      </c>
      <c r="E197" s="27" t="s">
        <v>707</v>
      </c>
      <c r="F197" s="34" t="s">
        <v>523</v>
      </c>
    </row>
    <row r="198" spans="2:6" x14ac:dyDescent="0.25">
      <c r="B198" s="27" t="s">
        <v>133</v>
      </c>
      <c r="C198" s="27" t="s">
        <v>14</v>
      </c>
      <c r="D198" s="29">
        <v>60</v>
      </c>
      <c r="E198" s="27" t="s">
        <v>708</v>
      </c>
      <c r="F198" s="34" t="s">
        <v>523</v>
      </c>
    </row>
    <row r="199" spans="2:6" x14ac:dyDescent="0.25">
      <c r="B199" s="27" t="s">
        <v>134</v>
      </c>
      <c r="C199" s="27" t="s">
        <v>14</v>
      </c>
      <c r="D199" s="29">
        <v>20</v>
      </c>
      <c r="E199" s="27" t="s">
        <v>709</v>
      </c>
      <c r="F199" s="34" t="s">
        <v>523</v>
      </c>
    </row>
    <row r="200" spans="2:6" x14ac:dyDescent="0.25">
      <c r="B200" s="27" t="s">
        <v>135</v>
      </c>
      <c r="C200" s="27" t="s">
        <v>14</v>
      </c>
      <c r="D200" s="29">
        <v>20</v>
      </c>
      <c r="E200" s="27" t="s">
        <v>710</v>
      </c>
      <c r="F200" s="34" t="s">
        <v>523</v>
      </c>
    </row>
    <row r="201" spans="2:6" x14ac:dyDescent="0.25">
      <c r="B201" s="27" t="s">
        <v>136</v>
      </c>
      <c r="C201" s="27" t="s">
        <v>14</v>
      </c>
      <c r="D201" s="29">
        <v>40</v>
      </c>
      <c r="E201" s="27" t="s">
        <v>711</v>
      </c>
      <c r="F201" s="34" t="s">
        <v>523</v>
      </c>
    </row>
    <row r="202" spans="2:6" ht="15.75" thickBot="1" x14ac:dyDescent="0.3">
      <c r="B202" s="25" t="s">
        <v>137</v>
      </c>
      <c r="C202" s="25" t="s">
        <v>14</v>
      </c>
      <c r="D202" s="30">
        <v>20</v>
      </c>
      <c r="E202" s="25" t="s">
        <v>712</v>
      </c>
      <c r="F202" s="33" t="s">
        <v>523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8"/>
  <sheetViews>
    <sheetView topLeftCell="E82" workbookViewId="0">
      <selection activeCell="S96" sqref="S96"/>
    </sheetView>
  </sheetViews>
  <sheetFormatPr defaultRowHeight="15" x14ac:dyDescent="0.25"/>
  <cols>
    <col min="1" max="1" width="9.85546875" bestFit="1" customWidth="1"/>
    <col min="4" max="4" width="8.42578125" customWidth="1"/>
    <col min="5" max="5" width="12.5703125" bestFit="1" customWidth="1"/>
    <col min="6" max="6" width="11.5703125" bestFit="1" customWidth="1"/>
    <col min="7" max="7" width="12.5703125" bestFit="1" customWidth="1"/>
    <col min="17" max="17" width="12.85546875" bestFit="1" customWidth="1"/>
    <col min="19" max="20" width="13.42578125" bestFit="1" customWidth="1"/>
    <col min="21" max="21" width="12.5703125" bestFit="1" customWidth="1"/>
  </cols>
  <sheetData>
    <row r="1" spans="1:20" ht="30.75" thickBot="1" x14ac:dyDescent="0.3">
      <c r="A1" t="s">
        <v>0</v>
      </c>
      <c r="B1" s="2" t="s">
        <v>2</v>
      </c>
      <c r="C1" s="3">
        <v>10</v>
      </c>
      <c r="D1" s="4" t="s">
        <v>10</v>
      </c>
      <c r="E1" s="5">
        <v>10</v>
      </c>
      <c r="P1" s="2" t="s">
        <v>2</v>
      </c>
      <c r="Q1" s="3">
        <v>10</v>
      </c>
      <c r="R1" s="4" t="s">
        <v>10</v>
      </c>
      <c r="S1" s="5">
        <v>0</v>
      </c>
    </row>
    <row r="2" spans="1:20" x14ac:dyDescent="0.25">
      <c r="A2" s="2"/>
      <c r="B2" s="6" t="s">
        <v>1</v>
      </c>
      <c r="C2" s="6" t="s">
        <v>11</v>
      </c>
      <c r="D2" s="6" t="s">
        <v>3</v>
      </c>
      <c r="E2" s="7" t="s">
        <v>4</v>
      </c>
      <c r="M2" t="s">
        <v>12</v>
      </c>
      <c r="N2" t="s">
        <v>13</v>
      </c>
      <c r="O2" t="s">
        <v>1</v>
      </c>
      <c r="P2" t="s">
        <v>14</v>
      </c>
      <c r="Q2" t="s">
        <v>17</v>
      </c>
      <c r="R2" t="s">
        <v>515</v>
      </c>
      <c r="S2" s="7" t="s">
        <v>4</v>
      </c>
      <c r="T2" s="31" t="s">
        <v>516</v>
      </c>
    </row>
    <row r="3" spans="1:20" x14ac:dyDescent="0.25">
      <c r="A3" s="8">
        <v>41300</v>
      </c>
      <c r="B3" s="9"/>
      <c r="C3" s="9"/>
      <c r="D3" s="10">
        <f>IF(ISBLANK(C4),SUM(D4,Consumption(ROW(D3),COLUMN(D3))),$C$1)</f>
        <v>10</v>
      </c>
      <c r="E3" s="11">
        <f t="shared" ref="E3:E66" si="0">$E$1*D3+B3*C3</f>
        <v>100</v>
      </c>
      <c r="M3" s="23">
        <v>3.6120589243304257</v>
      </c>
      <c r="N3">
        <f t="shared" ref="N3:N42" si="1">SUM(M3:M3)</f>
        <v>3.6120589243304257</v>
      </c>
      <c r="O3">
        <v>0</v>
      </c>
      <c r="P3">
        <v>10</v>
      </c>
      <c r="Q3">
        <v>0</v>
      </c>
      <c r="R3">
        <f>P3-Q3</f>
        <v>10</v>
      </c>
      <c r="S3" s="11">
        <f>$S$1*R3+P3*Q3</f>
        <v>0</v>
      </c>
      <c r="T3">
        <f>LOOKUP(M3,$G$36:$G$40,$I$36:$I$40)</f>
        <v>20998.560000000001</v>
      </c>
    </row>
    <row r="4" spans="1:20" x14ac:dyDescent="0.25">
      <c r="A4" s="8">
        <v>41301</v>
      </c>
      <c r="B4" s="9"/>
      <c r="C4" s="9"/>
      <c r="D4" s="10">
        <f>IF(ISBLANK(C5),SUM(D5,Consumption(ROW(D4),COLUMN(D4))),$C$1)</f>
        <v>10</v>
      </c>
      <c r="E4" s="11">
        <f t="shared" si="0"/>
        <v>100</v>
      </c>
      <c r="M4" s="23">
        <v>1.007050032265042</v>
      </c>
      <c r="N4">
        <f t="shared" si="1"/>
        <v>1.007050032265042</v>
      </c>
      <c r="O4">
        <f>(P4*P4*$G$33+P4*$H$33+$I$33)</f>
        <v>356.87200000000001</v>
      </c>
      <c r="P4">
        <f t="shared" ref="P4:P67" si="2">LOOKUP(N4,$G$36:$H$41)</f>
        <v>20</v>
      </c>
      <c r="Q4">
        <v>0</v>
      </c>
      <c r="R4">
        <f>R3+P4-Q4</f>
        <v>30</v>
      </c>
      <c r="S4" s="11">
        <f>$S$1*R4+P4*O4</f>
        <v>7137.4400000000005</v>
      </c>
      <c r="T4">
        <f t="shared" ref="T4:T67" si="3">LOOKUP(M4,$G$36:$G$40,$I$36:$I$40)</f>
        <v>7137.4400000000005</v>
      </c>
    </row>
    <row r="5" spans="1:20" x14ac:dyDescent="0.25">
      <c r="A5" s="8">
        <v>41302</v>
      </c>
      <c r="B5" s="9"/>
      <c r="C5" s="9"/>
      <c r="D5" s="10">
        <f>IF(ISBLANK(C6),SUM(D6,Consumption(ROW(D5),COLUMN(D5))),$C$1)</f>
        <v>10</v>
      </c>
      <c r="E5" s="11">
        <f t="shared" si="0"/>
        <v>100</v>
      </c>
      <c r="M5" s="23">
        <v>1.4722440473140423</v>
      </c>
      <c r="N5">
        <f t="shared" si="1"/>
        <v>1.4722440473140423</v>
      </c>
      <c r="O5">
        <f t="shared" ref="O5:O68" si="4">(P5*P5*$G$33+P5*$H$33+$I$33)</f>
        <v>356.87200000000001</v>
      </c>
      <c r="P5">
        <f t="shared" si="2"/>
        <v>20</v>
      </c>
      <c r="Q5">
        <v>0</v>
      </c>
      <c r="R5">
        <f t="shared" ref="R5:R68" si="5">R4+P5-Q5</f>
        <v>50</v>
      </c>
      <c r="S5" s="11">
        <f t="shared" ref="S5:S68" si="6">$S$1*R5+P5*O5</f>
        <v>7137.4400000000005</v>
      </c>
      <c r="T5">
        <f t="shared" si="3"/>
        <v>7137.4400000000005</v>
      </c>
    </row>
    <row r="6" spans="1:20" x14ac:dyDescent="0.25">
      <c r="A6" s="8">
        <v>41303</v>
      </c>
      <c r="B6" s="9"/>
      <c r="C6" s="9"/>
      <c r="D6" s="10">
        <f>IF(ISBLANK(C7),SUM(D7,Consumption(ROW(D6),COLUMN(D6))),$C$1)</f>
        <v>10</v>
      </c>
      <c r="E6" s="11">
        <f t="shared" si="0"/>
        <v>100</v>
      </c>
      <c r="M6" s="23">
        <v>1.4302178460314021</v>
      </c>
      <c r="N6">
        <f t="shared" si="1"/>
        <v>1.4302178460314021</v>
      </c>
      <c r="O6">
        <f t="shared" si="4"/>
        <v>356.87200000000001</v>
      </c>
      <c r="P6">
        <f t="shared" si="2"/>
        <v>20</v>
      </c>
      <c r="Q6">
        <v>0</v>
      </c>
      <c r="R6">
        <f t="shared" si="5"/>
        <v>70</v>
      </c>
      <c r="S6" s="11">
        <f t="shared" si="6"/>
        <v>7137.4400000000005</v>
      </c>
      <c r="T6">
        <f t="shared" si="3"/>
        <v>7137.4400000000005</v>
      </c>
    </row>
    <row r="7" spans="1:20" x14ac:dyDescent="0.25">
      <c r="A7" s="8">
        <v>41304</v>
      </c>
      <c r="B7" s="9"/>
      <c r="C7" s="9"/>
      <c r="D7" s="10">
        <f>IF(ISBLANK(C8),SUM(D8,Consumption(ROW(D7),COLUMN(D7))),$C$1)</f>
        <v>10</v>
      </c>
      <c r="E7" s="11">
        <f t="shared" si="0"/>
        <v>100</v>
      </c>
      <c r="M7" s="23">
        <v>1.3483613009324118</v>
      </c>
      <c r="N7">
        <f t="shared" si="1"/>
        <v>1.3483613009324118</v>
      </c>
      <c r="O7">
        <f t="shared" si="4"/>
        <v>356.87200000000001</v>
      </c>
      <c r="P7">
        <f t="shared" si="2"/>
        <v>20</v>
      </c>
      <c r="Q7">
        <v>0</v>
      </c>
      <c r="R7">
        <f t="shared" si="5"/>
        <v>90</v>
      </c>
      <c r="S7" s="11">
        <f t="shared" si="6"/>
        <v>7137.4400000000005</v>
      </c>
      <c r="T7">
        <f t="shared" si="3"/>
        <v>7137.4400000000005</v>
      </c>
    </row>
    <row r="8" spans="1:20" x14ac:dyDescent="0.25">
      <c r="A8" s="8">
        <v>41305</v>
      </c>
      <c r="B8" s="9"/>
      <c r="C8" s="9"/>
      <c r="D8" s="10">
        <f>IF(ISBLANK(C9),SUM(D9,Consumption(ROW(D8),COLUMN(D8))),$C$1)</f>
        <v>10</v>
      </c>
      <c r="E8" s="11">
        <f t="shared" si="0"/>
        <v>100</v>
      </c>
      <c r="M8" s="23">
        <v>1.3011703534522887</v>
      </c>
      <c r="N8">
        <f t="shared" si="1"/>
        <v>1.3011703534522887</v>
      </c>
      <c r="O8">
        <f t="shared" si="4"/>
        <v>356.87200000000001</v>
      </c>
      <c r="P8">
        <f t="shared" si="2"/>
        <v>20</v>
      </c>
      <c r="Q8">
        <v>0</v>
      </c>
      <c r="R8">
        <f t="shared" si="5"/>
        <v>110</v>
      </c>
      <c r="S8" s="11">
        <f t="shared" si="6"/>
        <v>7137.4400000000005</v>
      </c>
      <c r="T8">
        <f t="shared" si="3"/>
        <v>7137.4400000000005</v>
      </c>
    </row>
    <row r="9" spans="1:20" x14ac:dyDescent="0.25">
      <c r="A9" s="8">
        <v>41306</v>
      </c>
      <c r="B9" s="9"/>
      <c r="C9" s="9"/>
      <c r="D9" s="10">
        <f>IF(ISBLANK(C10),SUM(D10,Consumption(ROW(D9),COLUMN(D9))),$C$1)</f>
        <v>10</v>
      </c>
      <c r="E9" s="11">
        <f t="shared" si="0"/>
        <v>100</v>
      </c>
      <c r="M9" s="23">
        <v>2.2228469300190206</v>
      </c>
      <c r="N9">
        <f t="shared" si="1"/>
        <v>2.2228469300190206</v>
      </c>
      <c r="O9">
        <f t="shared" si="4"/>
        <v>353.42399999999998</v>
      </c>
      <c r="P9">
        <f t="shared" si="2"/>
        <v>40</v>
      </c>
      <c r="Q9">
        <v>0</v>
      </c>
      <c r="R9">
        <f t="shared" si="5"/>
        <v>150</v>
      </c>
      <c r="S9" s="11">
        <f t="shared" si="6"/>
        <v>14136.96</v>
      </c>
      <c r="T9">
        <f t="shared" si="3"/>
        <v>14136.96</v>
      </c>
    </row>
    <row r="10" spans="1:20" x14ac:dyDescent="0.25">
      <c r="A10" s="8">
        <v>41307</v>
      </c>
      <c r="B10" s="9"/>
      <c r="C10" s="9"/>
      <c r="D10" s="10">
        <f>IF(ISBLANK(C11),SUM(D11,Consumption(ROW(D10),COLUMN(D10))),$C$1)</f>
        <v>10</v>
      </c>
      <c r="E10" s="11">
        <f t="shared" si="0"/>
        <v>100</v>
      </c>
      <c r="M10" s="23">
        <v>2.4246809102709781</v>
      </c>
      <c r="N10">
        <f t="shared" si="1"/>
        <v>2.4246809102709781</v>
      </c>
      <c r="O10">
        <f t="shared" si="4"/>
        <v>353.42399999999998</v>
      </c>
      <c r="P10">
        <f t="shared" si="2"/>
        <v>40</v>
      </c>
      <c r="Q10">
        <v>0</v>
      </c>
      <c r="R10">
        <f t="shared" si="5"/>
        <v>190</v>
      </c>
      <c r="S10" s="11">
        <f t="shared" si="6"/>
        <v>14136.96</v>
      </c>
      <c r="T10">
        <f t="shared" si="3"/>
        <v>14136.96</v>
      </c>
    </row>
    <row r="11" spans="1:20" x14ac:dyDescent="0.25">
      <c r="A11" s="8">
        <v>41308</v>
      </c>
      <c r="B11" s="9"/>
      <c r="C11" s="9"/>
      <c r="D11" s="10">
        <f>IF(ISBLANK(C12),SUM(D12,Consumption(ROW(D11),COLUMN(D11))),$C$1)</f>
        <v>10</v>
      </c>
      <c r="E11" s="11">
        <f t="shared" si="0"/>
        <v>100</v>
      </c>
      <c r="M11" s="23">
        <v>1.0147920777158774</v>
      </c>
      <c r="N11">
        <f t="shared" si="1"/>
        <v>1.0147920777158774</v>
      </c>
      <c r="O11">
        <f t="shared" si="4"/>
        <v>356.87200000000001</v>
      </c>
      <c r="P11">
        <f t="shared" si="2"/>
        <v>20</v>
      </c>
      <c r="Q11">
        <v>0</v>
      </c>
      <c r="R11">
        <f t="shared" si="5"/>
        <v>210</v>
      </c>
      <c r="S11" s="11">
        <f t="shared" si="6"/>
        <v>7137.4400000000005</v>
      </c>
      <c r="T11">
        <f t="shared" si="3"/>
        <v>7137.4400000000005</v>
      </c>
    </row>
    <row r="12" spans="1:20" x14ac:dyDescent="0.25">
      <c r="A12" s="8">
        <v>41309</v>
      </c>
      <c r="B12" s="9"/>
      <c r="C12" s="9"/>
      <c r="D12" s="10">
        <f>IF(ISBLANK(C13),SUM(D13,Consumption(ROW(D12),COLUMN(D12))),$C$1)</f>
        <v>10</v>
      </c>
      <c r="E12" s="11">
        <f t="shared" si="0"/>
        <v>100</v>
      </c>
      <c r="M12" s="23">
        <v>3.0126345190278414</v>
      </c>
      <c r="N12">
        <f t="shared" si="1"/>
        <v>3.0126345190278414</v>
      </c>
      <c r="O12">
        <f t="shared" si="4"/>
        <v>349.976</v>
      </c>
      <c r="P12">
        <f t="shared" si="2"/>
        <v>60</v>
      </c>
      <c r="Q12">
        <v>0</v>
      </c>
      <c r="R12">
        <f t="shared" si="5"/>
        <v>270</v>
      </c>
      <c r="S12" s="11">
        <f t="shared" si="6"/>
        <v>20998.560000000001</v>
      </c>
      <c r="T12">
        <f t="shared" si="3"/>
        <v>20998.560000000001</v>
      </c>
    </row>
    <row r="13" spans="1:20" x14ac:dyDescent="0.25">
      <c r="A13" s="8">
        <v>41310</v>
      </c>
      <c r="B13" s="9"/>
      <c r="C13" s="9"/>
      <c r="D13" s="10">
        <f>IF(ISBLANK(C14),SUM(D14,Consumption(ROW(D13),COLUMN(D13))),$C$1)</f>
        <v>10</v>
      </c>
      <c r="E13" s="11">
        <f t="shared" si="0"/>
        <v>100</v>
      </c>
      <c r="M13" s="23">
        <v>3.077773296776122</v>
      </c>
      <c r="N13">
        <f t="shared" si="1"/>
        <v>3.077773296776122</v>
      </c>
      <c r="O13">
        <f t="shared" si="4"/>
        <v>349.976</v>
      </c>
      <c r="P13">
        <f t="shared" si="2"/>
        <v>60</v>
      </c>
      <c r="Q13">
        <v>0</v>
      </c>
      <c r="R13">
        <f t="shared" si="5"/>
        <v>330</v>
      </c>
      <c r="S13" s="11">
        <f t="shared" si="6"/>
        <v>20998.560000000001</v>
      </c>
      <c r="T13">
        <f t="shared" si="3"/>
        <v>20998.560000000001</v>
      </c>
    </row>
    <row r="14" spans="1:20" x14ac:dyDescent="0.25">
      <c r="A14" s="8">
        <v>41311</v>
      </c>
      <c r="B14" s="9"/>
      <c r="C14" s="9"/>
      <c r="D14" s="10">
        <f>IF(ISBLANK(C15),SUM(D15,Consumption(ROW(D14),COLUMN(D14))),$C$1)</f>
        <v>10</v>
      </c>
      <c r="E14" s="11">
        <f t="shared" si="0"/>
        <v>100</v>
      </c>
      <c r="M14" s="23">
        <v>2.6578464650818363</v>
      </c>
      <c r="N14">
        <f t="shared" si="1"/>
        <v>2.6578464650818363</v>
      </c>
      <c r="O14">
        <f t="shared" si="4"/>
        <v>353.42399999999998</v>
      </c>
      <c r="P14">
        <f t="shared" si="2"/>
        <v>40</v>
      </c>
      <c r="Q14">
        <v>0</v>
      </c>
      <c r="R14">
        <f t="shared" si="5"/>
        <v>370</v>
      </c>
      <c r="S14" s="11">
        <f t="shared" si="6"/>
        <v>14136.96</v>
      </c>
      <c r="T14">
        <f t="shared" si="3"/>
        <v>14136.96</v>
      </c>
    </row>
    <row r="15" spans="1:20" x14ac:dyDescent="0.25">
      <c r="A15" s="8">
        <v>41312</v>
      </c>
      <c r="B15" s="9"/>
      <c r="C15" s="9"/>
      <c r="D15" s="10">
        <f>IF(ISBLANK(C16),SUM(D16,Consumption(ROW(D15),COLUMN(D15))),$C$1)</f>
        <v>10</v>
      </c>
      <c r="E15" s="11">
        <f t="shared" si="0"/>
        <v>100</v>
      </c>
      <c r="M15" s="23">
        <v>0.83601984234341398</v>
      </c>
      <c r="N15">
        <f t="shared" si="1"/>
        <v>0.83601984234341398</v>
      </c>
      <c r="O15">
        <f t="shared" si="4"/>
        <v>360.32</v>
      </c>
      <c r="P15">
        <f t="shared" si="2"/>
        <v>0</v>
      </c>
      <c r="Q15">
        <v>0</v>
      </c>
      <c r="R15">
        <f t="shared" si="5"/>
        <v>370</v>
      </c>
      <c r="S15" s="11">
        <f t="shared" si="6"/>
        <v>0</v>
      </c>
      <c r="T15">
        <f t="shared" si="3"/>
        <v>0</v>
      </c>
    </row>
    <row r="16" spans="1:20" x14ac:dyDescent="0.25">
      <c r="A16" s="8">
        <v>41313</v>
      </c>
      <c r="B16" s="9"/>
      <c r="C16" s="9"/>
      <c r="D16" s="10">
        <f>IF(ISBLANK(C17),SUM(D17,Consumption(ROW(D16),COLUMN(D16))),$C$1)</f>
        <v>10</v>
      </c>
      <c r="E16" s="11">
        <f t="shared" si="0"/>
        <v>100</v>
      </c>
      <c r="M16" s="23">
        <v>1.4855362183812708</v>
      </c>
      <c r="N16">
        <f t="shared" si="1"/>
        <v>1.4855362183812708</v>
      </c>
      <c r="O16">
        <f t="shared" si="4"/>
        <v>356.87200000000001</v>
      </c>
      <c r="P16">
        <f t="shared" si="2"/>
        <v>20</v>
      </c>
      <c r="Q16">
        <v>0</v>
      </c>
      <c r="R16">
        <f t="shared" si="5"/>
        <v>390</v>
      </c>
      <c r="S16" s="11">
        <f t="shared" si="6"/>
        <v>7137.4400000000005</v>
      </c>
      <c r="T16">
        <f t="shared" si="3"/>
        <v>7137.4400000000005</v>
      </c>
    </row>
    <row r="17" spans="1:20" x14ac:dyDescent="0.25">
      <c r="A17" s="8">
        <v>41314</v>
      </c>
      <c r="B17" s="9"/>
      <c r="C17" s="9"/>
      <c r="D17" s="10">
        <f>IF(ISBLANK(C18),SUM(D18,Consumption(ROW(D17),COLUMN(D17))),$C$1)</f>
        <v>10</v>
      </c>
      <c r="E17" s="11">
        <f t="shared" si="0"/>
        <v>100</v>
      </c>
      <c r="M17" s="23">
        <v>1.9083847710436137</v>
      </c>
      <c r="N17">
        <f t="shared" si="1"/>
        <v>1.9083847710436137</v>
      </c>
      <c r="O17">
        <f t="shared" si="4"/>
        <v>356.87200000000001</v>
      </c>
      <c r="P17">
        <f t="shared" si="2"/>
        <v>20</v>
      </c>
      <c r="Q17">
        <v>0</v>
      </c>
      <c r="R17">
        <f t="shared" si="5"/>
        <v>410</v>
      </c>
      <c r="S17" s="11">
        <f t="shared" si="6"/>
        <v>7137.4400000000005</v>
      </c>
      <c r="T17">
        <f t="shared" si="3"/>
        <v>7137.4400000000005</v>
      </c>
    </row>
    <row r="18" spans="1:20" x14ac:dyDescent="0.25">
      <c r="A18" s="8">
        <v>41315</v>
      </c>
      <c r="B18" s="9"/>
      <c r="C18" s="9"/>
      <c r="D18" s="10">
        <f>IF(ISBLANK(C19),SUM(D19,Consumption(ROW(D18),COLUMN(D18))),$C$1)</f>
        <v>10</v>
      </c>
      <c r="E18" s="11">
        <f t="shared" si="0"/>
        <v>100</v>
      </c>
      <c r="M18" s="23">
        <v>2.605066274574523</v>
      </c>
      <c r="N18">
        <f t="shared" si="1"/>
        <v>2.605066274574523</v>
      </c>
      <c r="O18">
        <f t="shared" si="4"/>
        <v>353.42399999999998</v>
      </c>
      <c r="P18">
        <f t="shared" si="2"/>
        <v>40</v>
      </c>
      <c r="Q18">
        <v>0</v>
      </c>
      <c r="R18">
        <f t="shared" si="5"/>
        <v>450</v>
      </c>
      <c r="S18" s="11">
        <f t="shared" si="6"/>
        <v>14136.96</v>
      </c>
      <c r="T18">
        <f t="shared" si="3"/>
        <v>14136.96</v>
      </c>
    </row>
    <row r="19" spans="1:20" x14ac:dyDescent="0.25">
      <c r="A19" s="8">
        <v>41316</v>
      </c>
      <c r="B19" s="9"/>
      <c r="C19" s="9"/>
      <c r="D19" s="10">
        <f>IF(ISBLANK(C20),SUM(D20,Consumption(ROW(D19),COLUMN(D19))),$C$1)</f>
        <v>10</v>
      </c>
      <c r="E19" s="11">
        <f t="shared" si="0"/>
        <v>100</v>
      </c>
      <c r="M19" s="23">
        <v>5.2909208486280029E-2</v>
      </c>
      <c r="N19">
        <f t="shared" si="1"/>
        <v>5.2909208486280029E-2</v>
      </c>
      <c r="O19">
        <f t="shared" si="4"/>
        <v>360.32</v>
      </c>
      <c r="P19">
        <f t="shared" si="2"/>
        <v>0</v>
      </c>
      <c r="Q19">
        <v>0</v>
      </c>
      <c r="R19">
        <f t="shared" si="5"/>
        <v>450</v>
      </c>
      <c r="S19" s="11">
        <f t="shared" si="6"/>
        <v>0</v>
      </c>
      <c r="T19">
        <f t="shared" si="3"/>
        <v>0</v>
      </c>
    </row>
    <row r="20" spans="1:20" x14ac:dyDescent="0.25">
      <c r="A20" s="8">
        <v>41317</v>
      </c>
      <c r="B20" s="9"/>
      <c r="C20" s="9"/>
      <c r="D20" s="10">
        <f>IF(ISBLANK(C21),SUM(D21,Consumption(ROW(D20),COLUMN(D20))),$C$1)</f>
        <v>10</v>
      </c>
      <c r="E20" s="11">
        <f t="shared" si="0"/>
        <v>100</v>
      </c>
      <c r="M20" s="23">
        <v>1.4898922785603872</v>
      </c>
      <c r="N20">
        <f t="shared" si="1"/>
        <v>1.4898922785603872</v>
      </c>
      <c r="O20">
        <f t="shared" si="4"/>
        <v>356.87200000000001</v>
      </c>
      <c r="P20">
        <f t="shared" si="2"/>
        <v>20</v>
      </c>
      <c r="Q20">
        <v>0</v>
      </c>
      <c r="R20">
        <f t="shared" si="5"/>
        <v>470</v>
      </c>
      <c r="S20" s="11">
        <f t="shared" si="6"/>
        <v>7137.4400000000005</v>
      </c>
      <c r="T20">
        <f t="shared" si="3"/>
        <v>7137.4400000000005</v>
      </c>
    </row>
    <row r="21" spans="1:20" x14ac:dyDescent="0.25">
      <c r="A21" s="8">
        <v>41318</v>
      </c>
      <c r="B21" s="9"/>
      <c r="C21" s="9"/>
      <c r="D21" s="10">
        <f>IF(ISBLANK(C22),SUM(D22,Consumption(ROW(D21),COLUMN(D21))),$C$1)</f>
        <v>10</v>
      </c>
      <c r="E21" s="11">
        <f t="shared" si="0"/>
        <v>100</v>
      </c>
      <c r="M21" s="23">
        <v>3.7200731279887598</v>
      </c>
      <c r="N21">
        <f t="shared" si="1"/>
        <v>3.7200731279887598</v>
      </c>
      <c r="O21">
        <f t="shared" si="4"/>
        <v>349.976</v>
      </c>
      <c r="P21">
        <f t="shared" si="2"/>
        <v>60</v>
      </c>
      <c r="Q21">
        <v>0</v>
      </c>
      <c r="R21">
        <f t="shared" si="5"/>
        <v>530</v>
      </c>
      <c r="S21" s="11">
        <f t="shared" si="6"/>
        <v>20998.560000000001</v>
      </c>
      <c r="T21">
        <f t="shared" si="3"/>
        <v>20998.560000000001</v>
      </c>
    </row>
    <row r="22" spans="1:20" x14ac:dyDescent="0.25">
      <c r="A22" s="8">
        <v>41319</v>
      </c>
      <c r="B22" s="9"/>
      <c r="C22" s="9"/>
      <c r="D22" s="10">
        <f>IF(ISBLANK(C23),SUM(D23,Consumption(ROW(D22),COLUMN(D22))),$C$1)</f>
        <v>10</v>
      </c>
      <c r="E22" s="11">
        <f t="shared" si="0"/>
        <v>100</v>
      </c>
      <c r="M22" s="23">
        <v>0.26875748497841762</v>
      </c>
      <c r="N22">
        <f t="shared" si="1"/>
        <v>0.26875748497841762</v>
      </c>
      <c r="O22">
        <f t="shared" si="4"/>
        <v>360.32</v>
      </c>
      <c r="P22">
        <f t="shared" si="2"/>
        <v>0</v>
      </c>
      <c r="Q22">
        <v>0</v>
      </c>
      <c r="R22">
        <f t="shared" si="5"/>
        <v>530</v>
      </c>
      <c r="S22" s="11">
        <f t="shared" si="6"/>
        <v>0</v>
      </c>
      <c r="T22">
        <f t="shared" si="3"/>
        <v>0</v>
      </c>
    </row>
    <row r="23" spans="1:20" x14ac:dyDescent="0.25">
      <c r="A23" s="8">
        <v>41320</v>
      </c>
      <c r="B23" s="9"/>
      <c r="C23" s="9"/>
      <c r="D23" s="10">
        <f>IF(ISBLANK(C24),SUM(D24,Consumption(ROW(D23),COLUMN(D23))),$C$1)</f>
        <v>10</v>
      </c>
      <c r="E23" s="11">
        <f t="shared" si="0"/>
        <v>100</v>
      </c>
      <c r="M23" s="23">
        <v>3.8538018650625836</v>
      </c>
      <c r="N23">
        <f t="shared" si="1"/>
        <v>3.8538018650625836</v>
      </c>
      <c r="O23">
        <f t="shared" si="4"/>
        <v>349.976</v>
      </c>
      <c r="P23">
        <f t="shared" si="2"/>
        <v>60</v>
      </c>
      <c r="Q23">
        <v>0</v>
      </c>
      <c r="R23">
        <f t="shared" si="5"/>
        <v>590</v>
      </c>
      <c r="S23" s="11">
        <f t="shared" si="6"/>
        <v>20998.560000000001</v>
      </c>
      <c r="T23">
        <f t="shared" si="3"/>
        <v>20998.560000000001</v>
      </c>
    </row>
    <row r="24" spans="1:20" x14ac:dyDescent="0.25">
      <c r="A24" s="8">
        <v>41321</v>
      </c>
      <c r="B24" s="9"/>
      <c r="C24" s="9"/>
      <c r="D24" s="10">
        <f>IF(ISBLANK(C25),SUM(D25,Consumption(ROW(D24),COLUMN(D24))),$C$1)</f>
        <v>10</v>
      </c>
      <c r="E24" s="11">
        <f t="shared" si="0"/>
        <v>100</v>
      </c>
      <c r="M24" s="23">
        <v>2.8712226445186988</v>
      </c>
      <c r="N24">
        <f t="shared" si="1"/>
        <v>2.8712226445186988</v>
      </c>
      <c r="O24">
        <f t="shared" si="4"/>
        <v>353.42399999999998</v>
      </c>
      <c r="P24">
        <f t="shared" si="2"/>
        <v>40</v>
      </c>
      <c r="Q24">
        <v>0</v>
      </c>
      <c r="R24">
        <f t="shared" si="5"/>
        <v>630</v>
      </c>
      <c r="S24" s="11">
        <f t="shared" si="6"/>
        <v>14136.96</v>
      </c>
      <c r="T24">
        <f t="shared" si="3"/>
        <v>14136.96</v>
      </c>
    </row>
    <row r="25" spans="1:20" ht="15.75" thickBot="1" x14ac:dyDescent="0.3">
      <c r="A25" s="8">
        <v>41322</v>
      </c>
      <c r="B25" s="9"/>
      <c r="C25" s="9"/>
      <c r="D25" s="10">
        <f>IF(ISBLANK(C26),SUM(D26,Consumption(ROW(D25),COLUMN(D25))),$C$1)</f>
        <v>10</v>
      </c>
      <c r="E25" s="11">
        <f t="shared" si="0"/>
        <v>100</v>
      </c>
      <c r="M25" s="23">
        <v>3.4448579472698539</v>
      </c>
      <c r="N25">
        <f t="shared" si="1"/>
        <v>3.4448579472698539</v>
      </c>
      <c r="O25">
        <f t="shared" si="4"/>
        <v>349.976</v>
      </c>
      <c r="P25">
        <f t="shared" si="2"/>
        <v>60</v>
      </c>
      <c r="Q25">
        <v>0</v>
      </c>
      <c r="R25">
        <f t="shared" si="5"/>
        <v>690</v>
      </c>
      <c r="S25" s="11">
        <f t="shared" si="6"/>
        <v>20998.560000000001</v>
      </c>
      <c r="T25">
        <f t="shared" si="3"/>
        <v>20998.560000000001</v>
      </c>
    </row>
    <row r="26" spans="1:20" x14ac:dyDescent="0.25">
      <c r="A26" s="8">
        <v>41323</v>
      </c>
      <c r="B26" s="9">
        <v>325</v>
      </c>
      <c r="C26" s="9">
        <v>180</v>
      </c>
      <c r="D26" s="10">
        <f>IF(ISBLANK(C27),SUM(D27,Consumption(ROW(D26),COLUMN(D26))),$C$1)</f>
        <v>173.46153846153848</v>
      </c>
      <c r="E26" s="11">
        <f t="shared" si="0"/>
        <v>60234.615384615383</v>
      </c>
      <c r="G26" s="2" t="s">
        <v>6</v>
      </c>
      <c r="H26" s="7" t="s">
        <v>5</v>
      </c>
      <c r="M26" s="23">
        <v>0.2153362260271498</v>
      </c>
      <c r="N26">
        <f t="shared" si="1"/>
        <v>0.2153362260271498</v>
      </c>
      <c r="O26">
        <f t="shared" si="4"/>
        <v>360.32</v>
      </c>
      <c r="P26">
        <f t="shared" si="2"/>
        <v>0</v>
      </c>
      <c r="Q26">
        <v>8.4210526315789469</v>
      </c>
      <c r="R26">
        <f t="shared" si="5"/>
        <v>681.57894736842104</v>
      </c>
      <c r="S26" s="11">
        <f t="shared" si="6"/>
        <v>0</v>
      </c>
      <c r="T26">
        <f t="shared" si="3"/>
        <v>0</v>
      </c>
    </row>
    <row r="27" spans="1:20" x14ac:dyDescent="0.25">
      <c r="A27" s="8">
        <v>41324</v>
      </c>
      <c r="B27" s="9"/>
      <c r="C27" s="9"/>
      <c r="D27" s="10">
        <f>IF(ISBLANK(C28),SUM(D28,Consumption(ROW(D27),COLUMN(D27))),$C$1)</f>
        <v>166.92307692307693</v>
      </c>
      <c r="E27" s="11">
        <f t="shared" si="0"/>
        <v>1669.2307692307693</v>
      </c>
      <c r="G27" s="18">
        <v>45</v>
      </c>
      <c r="H27" s="19">
        <v>350</v>
      </c>
      <c r="M27" s="23">
        <v>3.4072223340194778</v>
      </c>
      <c r="N27">
        <f t="shared" si="1"/>
        <v>3.4072223340194778</v>
      </c>
      <c r="O27">
        <f t="shared" si="4"/>
        <v>349.976</v>
      </c>
      <c r="P27">
        <f t="shared" si="2"/>
        <v>60</v>
      </c>
      <c r="Q27">
        <v>8.4210526315789469</v>
      </c>
      <c r="R27">
        <f t="shared" si="5"/>
        <v>733.15789473684208</v>
      </c>
      <c r="S27" s="11">
        <f t="shared" si="6"/>
        <v>20998.560000000001</v>
      </c>
      <c r="T27">
        <f t="shared" si="3"/>
        <v>20998.560000000001</v>
      </c>
    </row>
    <row r="28" spans="1:20" x14ac:dyDescent="0.25">
      <c r="A28" s="8">
        <v>41325</v>
      </c>
      <c r="B28" s="9"/>
      <c r="C28" s="9"/>
      <c r="D28" s="10">
        <f>IF(ISBLANK(C29),SUM(D29,Consumption(ROW(D28),COLUMN(D28))),$C$1)</f>
        <v>160.38461538461539</v>
      </c>
      <c r="E28" s="11">
        <f t="shared" si="0"/>
        <v>1603.8461538461538</v>
      </c>
      <c r="G28" s="18">
        <v>80</v>
      </c>
      <c r="H28" s="19">
        <v>350</v>
      </c>
      <c r="M28" s="23">
        <v>3.055556412346454</v>
      </c>
      <c r="N28">
        <f t="shared" si="1"/>
        <v>3.055556412346454</v>
      </c>
      <c r="O28">
        <f t="shared" si="4"/>
        <v>349.976</v>
      </c>
      <c r="P28">
        <f t="shared" si="2"/>
        <v>60</v>
      </c>
      <c r="Q28">
        <v>8.4210526315789469</v>
      </c>
      <c r="R28">
        <f t="shared" si="5"/>
        <v>784.73684210526312</v>
      </c>
      <c r="S28" s="11">
        <f t="shared" si="6"/>
        <v>20998.560000000001</v>
      </c>
      <c r="T28">
        <f t="shared" si="3"/>
        <v>20998.560000000001</v>
      </c>
    </row>
    <row r="29" spans="1:20" x14ac:dyDescent="0.25">
      <c r="A29" s="8">
        <v>41326</v>
      </c>
      <c r="B29" s="9"/>
      <c r="C29" s="9"/>
      <c r="D29" s="10">
        <f>IF(ISBLANK(C30),SUM(D30,Consumption(ROW(D29),COLUMN(D29))),$C$1)</f>
        <v>153.84615384615384</v>
      </c>
      <c r="E29" s="11">
        <f t="shared" si="0"/>
        <v>1538.4615384615383</v>
      </c>
      <c r="G29" s="18">
        <v>180</v>
      </c>
      <c r="H29" s="19">
        <v>330</v>
      </c>
      <c r="M29" s="23">
        <v>2.4255386304229214</v>
      </c>
      <c r="N29">
        <f t="shared" si="1"/>
        <v>2.4255386304229214</v>
      </c>
      <c r="O29">
        <f t="shared" si="4"/>
        <v>353.42399999999998</v>
      </c>
      <c r="P29">
        <f t="shared" si="2"/>
        <v>40</v>
      </c>
      <c r="Q29">
        <v>8.4210526315789469</v>
      </c>
      <c r="R29">
        <f t="shared" si="5"/>
        <v>816.31578947368416</v>
      </c>
      <c r="S29" s="11">
        <f t="shared" si="6"/>
        <v>14136.96</v>
      </c>
      <c r="T29">
        <f t="shared" si="3"/>
        <v>14136.96</v>
      </c>
    </row>
    <row r="30" spans="1:20" x14ac:dyDescent="0.25">
      <c r="A30" s="8">
        <v>41327</v>
      </c>
      <c r="B30" s="9"/>
      <c r="C30" s="9"/>
      <c r="D30" s="10">
        <f>IF(ISBLANK(C31),SUM(D31,Consumption(ROW(D30),COLUMN(D30))),$C$1)</f>
        <v>147.30769230769229</v>
      </c>
      <c r="E30" s="11">
        <f t="shared" si="0"/>
        <v>1473.0769230769229</v>
      </c>
      <c r="G30" s="18">
        <v>180</v>
      </c>
      <c r="H30" s="19">
        <v>325</v>
      </c>
      <c r="M30" s="23">
        <v>1.2631895641159219</v>
      </c>
      <c r="N30">
        <f t="shared" si="1"/>
        <v>1.2631895641159219</v>
      </c>
      <c r="O30">
        <f t="shared" si="4"/>
        <v>356.87200000000001</v>
      </c>
      <c r="P30">
        <f t="shared" si="2"/>
        <v>20</v>
      </c>
      <c r="Q30">
        <v>8.4210526315789469</v>
      </c>
      <c r="R30">
        <f t="shared" si="5"/>
        <v>827.8947368421052</v>
      </c>
      <c r="S30" s="11">
        <f t="shared" si="6"/>
        <v>7137.4400000000005</v>
      </c>
      <c r="T30">
        <f t="shared" si="3"/>
        <v>7137.4400000000005</v>
      </c>
    </row>
    <row r="31" spans="1:20" ht="15.75" thickBot="1" x14ac:dyDescent="0.3">
      <c r="A31" s="8">
        <v>41328</v>
      </c>
      <c r="B31" s="9"/>
      <c r="C31" s="9"/>
      <c r="D31" s="10">
        <f>IF(ISBLANK(C32),SUM(D32,Consumption(ROW(D31),COLUMN(D31))),$C$1)</f>
        <v>140.76923076923075</v>
      </c>
      <c r="E31" s="11">
        <f t="shared" si="0"/>
        <v>1407.6923076923074</v>
      </c>
      <c r="G31" s="20">
        <v>180</v>
      </c>
      <c r="H31" s="21">
        <v>332</v>
      </c>
      <c r="M31" s="23">
        <v>3.3883528296781482</v>
      </c>
      <c r="N31">
        <f t="shared" si="1"/>
        <v>3.3883528296781482</v>
      </c>
      <c r="O31">
        <f t="shared" si="4"/>
        <v>349.976</v>
      </c>
      <c r="P31">
        <f t="shared" si="2"/>
        <v>60</v>
      </c>
      <c r="Q31">
        <v>8.4210526315789469</v>
      </c>
      <c r="R31">
        <f t="shared" si="5"/>
        <v>879.47368421052624</v>
      </c>
      <c r="S31" s="11">
        <f t="shared" si="6"/>
        <v>20998.560000000001</v>
      </c>
      <c r="T31">
        <f t="shared" si="3"/>
        <v>20998.560000000001</v>
      </c>
    </row>
    <row r="32" spans="1:20" x14ac:dyDescent="0.25">
      <c r="A32" s="8">
        <v>41329</v>
      </c>
      <c r="B32" s="9"/>
      <c r="C32" s="9"/>
      <c r="D32" s="10">
        <f>IF(ISBLANK(C33),SUM(D33,Consumption(ROW(D32),COLUMN(D32))),$C$1)</f>
        <v>134.2307692307692</v>
      </c>
      <c r="E32" s="11">
        <f t="shared" si="0"/>
        <v>1342.3076923076919</v>
      </c>
      <c r="M32" s="23">
        <v>2.4111114174179322</v>
      </c>
      <c r="N32">
        <f t="shared" si="1"/>
        <v>2.4111114174179322</v>
      </c>
      <c r="O32">
        <f t="shared" si="4"/>
        <v>353.42399999999998</v>
      </c>
      <c r="P32">
        <f t="shared" si="2"/>
        <v>40</v>
      </c>
      <c r="Q32">
        <v>8.4210526315789469</v>
      </c>
      <c r="R32">
        <f t="shared" si="5"/>
        <v>911.05263157894728</v>
      </c>
      <c r="S32" s="11">
        <f t="shared" si="6"/>
        <v>14136.96</v>
      </c>
      <c r="T32">
        <f t="shared" si="3"/>
        <v>14136.96</v>
      </c>
    </row>
    <row r="33" spans="1:20" x14ac:dyDescent="0.25">
      <c r="A33" s="8">
        <v>41330</v>
      </c>
      <c r="B33" s="9"/>
      <c r="C33" s="9"/>
      <c r="D33" s="10">
        <f>IF(ISBLANK(C34),SUM(D34,Consumption(ROW(D33),COLUMN(D33))),$C$1)</f>
        <v>127.69230769230765</v>
      </c>
      <c r="E33" s="11">
        <f t="shared" si="0"/>
        <v>1276.9230769230765</v>
      </c>
      <c r="G33" s="22"/>
      <c r="H33" s="22">
        <v>-0.1724</v>
      </c>
      <c r="I33" s="22">
        <v>360.32</v>
      </c>
      <c r="M33" s="23">
        <v>2.0018732873731633</v>
      </c>
      <c r="N33">
        <f t="shared" si="1"/>
        <v>2.0018732873731633</v>
      </c>
      <c r="O33">
        <f t="shared" si="4"/>
        <v>353.42399999999998</v>
      </c>
      <c r="P33">
        <f t="shared" si="2"/>
        <v>40</v>
      </c>
      <c r="Q33">
        <v>8.4210526315789469</v>
      </c>
      <c r="R33">
        <f t="shared" si="5"/>
        <v>942.63157894736833</v>
      </c>
      <c r="S33" s="11">
        <f t="shared" si="6"/>
        <v>14136.96</v>
      </c>
      <c r="T33">
        <f t="shared" si="3"/>
        <v>14136.96</v>
      </c>
    </row>
    <row r="34" spans="1:20" x14ac:dyDescent="0.25">
      <c r="A34" s="8">
        <v>41331</v>
      </c>
      <c r="B34" s="9"/>
      <c r="C34" s="9"/>
      <c r="D34" s="10">
        <f>IF(ISBLANK(C35),SUM(D35,Consumption(ROW(D34),COLUMN(D34))),$C$1)</f>
        <v>121.15384615384612</v>
      </c>
      <c r="E34" s="11">
        <f t="shared" si="0"/>
        <v>1211.5384615384612</v>
      </c>
      <c r="M34" s="23">
        <v>1.6783056043453075</v>
      </c>
      <c r="N34">
        <f t="shared" si="1"/>
        <v>1.6783056043453075</v>
      </c>
      <c r="O34">
        <f t="shared" si="4"/>
        <v>356.87200000000001</v>
      </c>
      <c r="P34">
        <f t="shared" si="2"/>
        <v>20</v>
      </c>
      <c r="Q34">
        <v>8.4210526315789469</v>
      </c>
      <c r="R34">
        <f t="shared" si="5"/>
        <v>954.21052631578937</v>
      </c>
      <c r="S34" s="11">
        <f t="shared" si="6"/>
        <v>7137.4400000000005</v>
      </c>
      <c r="T34">
        <f t="shared" si="3"/>
        <v>7137.4400000000005</v>
      </c>
    </row>
    <row r="35" spans="1:20" x14ac:dyDescent="0.25">
      <c r="A35" s="8">
        <v>41332</v>
      </c>
      <c r="B35" s="9"/>
      <c r="C35" s="9"/>
      <c r="D35" s="10">
        <f>IF(ISBLANK(C36),SUM(D36,Consumption(ROW(D35),COLUMN(D35))),$C$1)</f>
        <v>114.61538461538458</v>
      </c>
      <c r="E35" s="11">
        <f t="shared" si="0"/>
        <v>1146.1538461538457</v>
      </c>
      <c r="G35" t="s">
        <v>15</v>
      </c>
      <c r="H35" t="s">
        <v>16</v>
      </c>
      <c r="M35" s="23">
        <v>1.727519764438048</v>
      </c>
      <c r="N35">
        <f t="shared" si="1"/>
        <v>1.727519764438048</v>
      </c>
      <c r="O35">
        <f t="shared" si="4"/>
        <v>356.87200000000001</v>
      </c>
      <c r="P35">
        <f t="shared" si="2"/>
        <v>20</v>
      </c>
      <c r="Q35">
        <v>8.4210526315789469</v>
      </c>
      <c r="R35">
        <f t="shared" si="5"/>
        <v>965.78947368421041</v>
      </c>
      <c r="S35" s="11">
        <f t="shared" si="6"/>
        <v>7137.4400000000005</v>
      </c>
      <c r="T35">
        <f t="shared" si="3"/>
        <v>7137.4400000000005</v>
      </c>
    </row>
    <row r="36" spans="1:20" x14ac:dyDescent="0.25">
      <c r="A36" s="8">
        <v>41333</v>
      </c>
      <c r="B36" s="9"/>
      <c r="C36" s="9"/>
      <c r="D36" s="10">
        <f>IF(ISBLANK(C37),SUM(D37,Consumption(ROW(D36),COLUMN(D36))),$C$1)</f>
        <v>108.07692307692305</v>
      </c>
      <c r="E36" s="11">
        <f t="shared" si="0"/>
        <v>1080.7692307692305</v>
      </c>
      <c r="G36">
        <v>0</v>
      </c>
      <c r="H36">
        <v>0</v>
      </c>
      <c r="I36">
        <v>0</v>
      </c>
      <c r="M36" s="23">
        <v>0.81209249459770161</v>
      </c>
      <c r="N36">
        <f t="shared" si="1"/>
        <v>0.81209249459770161</v>
      </c>
      <c r="O36">
        <f t="shared" si="4"/>
        <v>360.32</v>
      </c>
      <c r="P36">
        <f t="shared" si="2"/>
        <v>0</v>
      </c>
      <c r="Q36">
        <v>8.4210526315789469</v>
      </c>
      <c r="R36">
        <f t="shared" si="5"/>
        <v>957.36842105263145</v>
      </c>
      <c r="S36" s="11">
        <f t="shared" si="6"/>
        <v>0</v>
      </c>
      <c r="T36">
        <f t="shared" si="3"/>
        <v>0</v>
      </c>
    </row>
    <row r="37" spans="1:20" x14ac:dyDescent="0.25">
      <c r="A37" s="8">
        <v>41334</v>
      </c>
      <c r="B37" s="9"/>
      <c r="C37" s="9"/>
      <c r="D37" s="10">
        <f>IF(ISBLANK(C38),SUM(D38,Consumption(ROW(D37),COLUMN(D37))),$C$1)</f>
        <v>101.53846153846152</v>
      </c>
      <c r="E37" s="11">
        <f t="shared" si="0"/>
        <v>1015.3846153846152</v>
      </c>
      <c r="G37">
        <v>1</v>
      </c>
      <c r="H37">
        <v>20</v>
      </c>
      <c r="I37">
        <f>J37*K37</f>
        <v>7137.4400000000005</v>
      </c>
      <c r="J37">
        <v>356.87200000000001</v>
      </c>
      <c r="K37">
        <v>20</v>
      </c>
      <c r="M37" s="23">
        <v>0.58783364509597125</v>
      </c>
      <c r="N37">
        <f t="shared" si="1"/>
        <v>0.58783364509597125</v>
      </c>
      <c r="O37">
        <f t="shared" si="4"/>
        <v>360.32</v>
      </c>
      <c r="P37">
        <f t="shared" si="2"/>
        <v>0</v>
      </c>
      <c r="Q37">
        <v>8.4210526315789469</v>
      </c>
      <c r="R37">
        <f t="shared" si="5"/>
        <v>948.94736842105249</v>
      </c>
      <c r="S37" s="11">
        <f t="shared" si="6"/>
        <v>0</v>
      </c>
      <c r="T37">
        <f t="shared" si="3"/>
        <v>0</v>
      </c>
    </row>
    <row r="38" spans="1:20" x14ac:dyDescent="0.25">
      <c r="A38" s="8">
        <v>41335</v>
      </c>
      <c r="B38" s="9"/>
      <c r="C38" s="9"/>
      <c r="D38" s="10">
        <f>IF(ISBLANK(C39),SUM(D39,Consumption(ROW(D38),COLUMN(D38))),$C$1)</f>
        <v>94.999999999999986</v>
      </c>
      <c r="E38" s="11">
        <f t="shared" si="0"/>
        <v>949.99999999999989</v>
      </c>
      <c r="G38">
        <v>2</v>
      </c>
      <c r="H38">
        <v>40</v>
      </c>
      <c r="I38">
        <f>J38*K38</f>
        <v>14136.96</v>
      </c>
      <c r="J38">
        <v>353.42399999999998</v>
      </c>
      <c r="K38">
        <v>40</v>
      </c>
      <c r="M38" s="23">
        <v>3.6104501707528014</v>
      </c>
      <c r="N38">
        <f t="shared" si="1"/>
        <v>3.6104501707528014</v>
      </c>
      <c r="O38">
        <f t="shared" si="4"/>
        <v>349.976</v>
      </c>
      <c r="P38">
        <f t="shared" si="2"/>
        <v>60</v>
      </c>
      <c r="Q38">
        <v>8.4210526315789469</v>
      </c>
      <c r="R38">
        <f t="shared" si="5"/>
        <v>1000.5263157894735</v>
      </c>
      <c r="S38" s="11">
        <f t="shared" si="6"/>
        <v>20998.560000000001</v>
      </c>
      <c r="T38">
        <f t="shared" si="3"/>
        <v>20998.560000000001</v>
      </c>
    </row>
    <row r="39" spans="1:20" x14ac:dyDescent="0.25">
      <c r="A39" s="8">
        <v>41336</v>
      </c>
      <c r="B39" s="9"/>
      <c r="C39" s="9"/>
      <c r="D39" s="10">
        <f>IF(ISBLANK(C40),SUM(D40,Consumption(ROW(D39),COLUMN(D39))),$C$1)</f>
        <v>88.461538461538453</v>
      </c>
      <c r="E39" s="11">
        <f t="shared" si="0"/>
        <v>884.61538461538453</v>
      </c>
      <c r="G39">
        <v>3</v>
      </c>
      <c r="H39">
        <v>60</v>
      </c>
      <c r="I39">
        <f>J39*K39</f>
        <v>20998.560000000001</v>
      </c>
      <c r="J39">
        <v>349.976</v>
      </c>
      <c r="K39">
        <v>60</v>
      </c>
      <c r="M39" s="23">
        <v>1.8415548660985914</v>
      </c>
      <c r="N39">
        <f t="shared" si="1"/>
        <v>1.8415548660985914</v>
      </c>
      <c r="O39">
        <f t="shared" si="4"/>
        <v>356.87200000000001</v>
      </c>
      <c r="P39">
        <f t="shared" si="2"/>
        <v>20</v>
      </c>
      <c r="Q39">
        <v>8.4210526315789469</v>
      </c>
      <c r="R39">
        <f t="shared" si="5"/>
        <v>1012.1052631578946</v>
      </c>
      <c r="S39" s="11">
        <f t="shared" si="6"/>
        <v>7137.4400000000005</v>
      </c>
      <c r="T39">
        <f t="shared" si="3"/>
        <v>7137.4400000000005</v>
      </c>
    </row>
    <row r="40" spans="1:20" x14ac:dyDescent="0.25">
      <c r="A40" s="8">
        <v>41337</v>
      </c>
      <c r="B40" s="9"/>
      <c r="C40" s="9"/>
      <c r="D40" s="10">
        <f>IF(ISBLANK(C41),SUM(D41,Consumption(ROW(D40),COLUMN(D40))),$C$1)</f>
        <v>81.92307692307692</v>
      </c>
      <c r="E40" s="11">
        <f t="shared" si="0"/>
        <v>819.23076923076917</v>
      </c>
      <c r="G40">
        <v>4</v>
      </c>
      <c r="H40">
        <v>180</v>
      </c>
      <c r="I40">
        <f>J40*K40</f>
        <v>59271.840000000004</v>
      </c>
      <c r="J40">
        <v>329.28800000000001</v>
      </c>
      <c r="K40">
        <v>180</v>
      </c>
      <c r="M40" s="23">
        <v>1.2884421447703811</v>
      </c>
      <c r="N40">
        <f t="shared" si="1"/>
        <v>1.2884421447703811</v>
      </c>
      <c r="O40">
        <f t="shared" si="4"/>
        <v>356.87200000000001</v>
      </c>
      <c r="P40">
        <f t="shared" si="2"/>
        <v>20</v>
      </c>
      <c r="Q40">
        <v>8.4210526315789469</v>
      </c>
      <c r="R40">
        <f t="shared" si="5"/>
        <v>1023.6842105263156</v>
      </c>
      <c r="S40" s="11">
        <f t="shared" si="6"/>
        <v>7137.4400000000005</v>
      </c>
      <c r="T40">
        <f t="shared" si="3"/>
        <v>7137.4400000000005</v>
      </c>
    </row>
    <row r="41" spans="1:20" x14ac:dyDescent="0.25">
      <c r="A41" s="8">
        <v>41338</v>
      </c>
      <c r="B41" s="9"/>
      <c r="C41" s="9"/>
      <c r="D41" s="10">
        <f>IF(ISBLANK(C42),SUM(D42,Consumption(ROW(D41),COLUMN(D41))),$C$1)</f>
        <v>75.384615384615387</v>
      </c>
      <c r="E41" s="11">
        <f t="shared" si="0"/>
        <v>753.84615384615381</v>
      </c>
      <c r="M41" s="23">
        <v>1.4843408807573564</v>
      </c>
      <c r="N41">
        <f t="shared" si="1"/>
        <v>1.4843408807573564</v>
      </c>
      <c r="O41">
        <f t="shared" si="4"/>
        <v>356.87200000000001</v>
      </c>
      <c r="P41">
        <f t="shared" si="2"/>
        <v>20</v>
      </c>
      <c r="Q41">
        <v>8.4210526315789469</v>
      </c>
      <c r="R41">
        <f t="shared" si="5"/>
        <v>1035.2631578947367</v>
      </c>
      <c r="S41" s="11">
        <f t="shared" si="6"/>
        <v>7137.4400000000005</v>
      </c>
      <c r="T41">
        <f t="shared" si="3"/>
        <v>7137.4400000000005</v>
      </c>
    </row>
    <row r="42" spans="1:20" x14ac:dyDescent="0.25">
      <c r="A42" s="8">
        <v>41339</v>
      </c>
      <c r="B42" s="9"/>
      <c r="C42" s="9"/>
      <c r="D42" s="10">
        <f>IF(ISBLANK(C43),SUM(D43,Consumption(ROW(D42),COLUMN(D42))),$C$1)</f>
        <v>68.846153846153854</v>
      </c>
      <c r="E42" s="11">
        <f t="shared" si="0"/>
        <v>688.46153846153857</v>
      </c>
      <c r="M42" s="23">
        <v>2.7087514115072562</v>
      </c>
      <c r="N42">
        <f t="shared" si="1"/>
        <v>2.7087514115072562</v>
      </c>
      <c r="O42">
        <f t="shared" si="4"/>
        <v>353.42399999999998</v>
      </c>
      <c r="P42">
        <f t="shared" si="2"/>
        <v>40</v>
      </c>
      <c r="Q42">
        <v>8.4210526315789469</v>
      </c>
      <c r="R42">
        <f t="shared" si="5"/>
        <v>1066.8421052631577</v>
      </c>
      <c r="S42" s="11">
        <f t="shared" si="6"/>
        <v>14136.96</v>
      </c>
      <c r="T42">
        <f t="shared" si="3"/>
        <v>14136.96</v>
      </c>
    </row>
    <row r="43" spans="1:20" x14ac:dyDescent="0.25">
      <c r="A43" s="8">
        <v>41340</v>
      </c>
      <c r="B43" s="9"/>
      <c r="C43" s="9"/>
      <c r="D43" s="10">
        <f>IF(ISBLANK(C44),SUM(D44,Consumption(ROW(D43),COLUMN(D43))),$C$1)</f>
        <v>62.307692307692321</v>
      </c>
      <c r="E43" s="11">
        <f t="shared" si="0"/>
        <v>623.07692307692321</v>
      </c>
      <c r="M43" s="23">
        <v>2.0277615180368356</v>
      </c>
      <c r="N43">
        <v>4</v>
      </c>
      <c r="O43">
        <f t="shared" si="4"/>
        <v>329.28800000000001</v>
      </c>
      <c r="P43">
        <f t="shared" si="2"/>
        <v>180</v>
      </c>
      <c r="Q43">
        <v>8.4210526315789469</v>
      </c>
      <c r="R43">
        <f t="shared" si="5"/>
        <v>1238.4210526315787</v>
      </c>
      <c r="S43" s="11">
        <f t="shared" si="6"/>
        <v>59271.840000000004</v>
      </c>
      <c r="T43">
        <f t="shared" si="3"/>
        <v>14136.96</v>
      </c>
    </row>
    <row r="44" spans="1:20" x14ac:dyDescent="0.25">
      <c r="A44" s="8">
        <v>41341</v>
      </c>
      <c r="B44" s="9"/>
      <c r="C44" s="9"/>
      <c r="D44" s="10">
        <f>IF(ISBLANK(C45),SUM(D45,Consumption(ROW(D44),COLUMN(D44))),$C$1)</f>
        <v>55.769230769230781</v>
      </c>
      <c r="E44" s="11">
        <f t="shared" si="0"/>
        <v>557.69230769230785</v>
      </c>
      <c r="M44" s="23">
        <v>2.5178087756586303</v>
      </c>
      <c r="N44">
        <f t="shared" ref="N44:N75" si="7">SUM(M44:M44)</f>
        <v>2.5178087756586303</v>
      </c>
      <c r="O44">
        <f t="shared" si="4"/>
        <v>353.42399999999998</v>
      </c>
      <c r="P44">
        <f t="shared" si="2"/>
        <v>40</v>
      </c>
      <c r="Q44">
        <v>8.4210526315789469</v>
      </c>
      <c r="R44">
        <f t="shared" si="5"/>
        <v>1269.9999999999998</v>
      </c>
      <c r="S44" s="11">
        <f t="shared" si="6"/>
        <v>14136.96</v>
      </c>
      <c r="T44">
        <f t="shared" si="3"/>
        <v>14136.96</v>
      </c>
    </row>
    <row r="45" spans="1:20" x14ac:dyDescent="0.25">
      <c r="A45" s="8">
        <v>41342</v>
      </c>
      <c r="B45" s="9"/>
      <c r="C45" s="9"/>
      <c r="D45" s="10">
        <f>IF(ISBLANK(C46),SUM(D46,Consumption(ROW(D45),COLUMN(D45))),$C$1)</f>
        <v>49.230769230769241</v>
      </c>
      <c r="E45" s="11">
        <f t="shared" si="0"/>
        <v>492.30769230769238</v>
      </c>
      <c r="M45" s="23">
        <v>3.1268338370727533</v>
      </c>
      <c r="N45">
        <f t="shared" si="7"/>
        <v>3.1268338370727533</v>
      </c>
      <c r="O45">
        <f t="shared" si="4"/>
        <v>349.976</v>
      </c>
      <c r="P45">
        <f t="shared" si="2"/>
        <v>60</v>
      </c>
      <c r="Q45">
        <v>26.666666666666668</v>
      </c>
      <c r="R45">
        <f t="shared" si="5"/>
        <v>1303.333333333333</v>
      </c>
      <c r="S45" s="11">
        <f t="shared" si="6"/>
        <v>20998.560000000001</v>
      </c>
      <c r="T45">
        <f t="shared" si="3"/>
        <v>20998.560000000001</v>
      </c>
    </row>
    <row r="46" spans="1:20" x14ac:dyDescent="0.25">
      <c r="A46" s="8">
        <v>41343</v>
      </c>
      <c r="B46" s="9"/>
      <c r="C46" s="9"/>
      <c r="D46" s="10">
        <f>IF(ISBLANK(C47),SUM(D47,Consumption(ROW(D46),COLUMN(D46))),$C$1)</f>
        <v>42.692307692307701</v>
      </c>
      <c r="E46" s="11">
        <f t="shared" si="0"/>
        <v>426.92307692307702</v>
      </c>
      <c r="M46" s="23">
        <v>0.6195257644259955</v>
      </c>
      <c r="N46">
        <f t="shared" si="7"/>
        <v>0.6195257644259955</v>
      </c>
      <c r="O46">
        <f t="shared" si="4"/>
        <v>360.32</v>
      </c>
      <c r="P46">
        <f t="shared" si="2"/>
        <v>0</v>
      </c>
      <c r="Q46">
        <v>26.666666666666668</v>
      </c>
      <c r="R46">
        <f t="shared" si="5"/>
        <v>1276.6666666666663</v>
      </c>
      <c r="S46" s="11">
        <f t="shared" si="6"/>
        <v>0</v>
      </c>
      <c r="T46">
        <f t="shared" si="3"/>
        <v>0</v>
      </c>
    </row>
    <row r="47" spans="1:20" x14ac:dyDescent="0.25">
      <c r="A47" s="8">
        <v>41344</v>
      </c>
      <c r="B47" s="9"/>
      <c r="C47" s="9"/>
      <c r="D47" s="10">
        <f>IF(ISBLANK(C48),SUM(D48,Consumption(ROW(D47),COLUMN(D47))),$C$1)</f>
        <v>36.15384615384616</v>
      </c>
      <c r="E47" s="11">
        <f t="shared" si="0"/>
        <v>361.5384615384616</v>
      </c>
      <c r="M47" s="23">
        <v>1.6417125843659568</v>
      </c>
      <c r="N47">
        <f t="shared" si="7"/>
        <v>1.6417125843659568</v>
      </c>
      <c r="O47">
        <f t="shared" si="4"/>
        <v>356.87200000000001</v>
      </c>
      <c r="P47">
        <f t="shared" si="2"/>
        <v>20</v>
      </c>
      <c r="Q47">
        <v>26.666666666666668</v>
      </c>
      <c r="R47">
        <f t="shared" si="5"/>
        <v>1269.9999999999995</v>
      </c>
      <c r="S47" s="11">
        <f t="shared" si="6"/>
        <v>7137.4400000000005</v>
      </c>
      <c r="T47">
        <f t="shared" si="3"/>
        <v>7137.4400000000005</v>
      </c>
    </row>
    <row r="48" spans="1:20" x14ac:dyDescent="0.25">
      <c r="A48" s="8">
        <v>41345</v>
      </c>
      <c r="B48" s="9"/>
      <c r="C48" s="9"/>
      <c r="D48" s="10">
        <f>IF(ISBLANK(C49),SUM(D49,Consumption(ROW(D48),COLUMN(D48))),$C$1)</f>
        <v>29.61538461538462</v>
      </c>
      <c r="E48" s="11">
        <f t="shared" si="0"/>
        <v>296.15384615384619</v>
      </c>
      <c r="M48" s="23">
        <v>0.83855670357055812</v>
      </c>
      <c r="N48">
        <f t="shared" si="7"/>
        <v>0.83855670357055812</v>
      </c>
      <c r="O48">
        <f t="shared" si="4"/>
        <v>360.32</v>
      </c>
      <c r="P48">
        <f t="shared" si="2"/>
        <v>0</v>
      </c>
      <c r="Q48">
        <v>10</v>
      </c>
      <c r="R48">
        <f t="shared" si="5"/>
        <v>1259.9999999999995</v>
      </c>
      <c r="S48" s="11">
        <f t="shared" si="6"/>
        <v>0</v>
      </c>
      <c r="T48">
        <f t="shared" si="3"/>
        <v>0</v>
      </c>
    </row>
    <row r="49" spans="1:20" x14ac:dyDescent="0.25">
      <c r="A49" s="8">
        <v>41346</v>
      </c>
      <c r="B49" s="9"/>
      <c r="C49" s="9"/>
      <c r="D49" s="10">
        <f>IF(ISBLANK(C50),SUM(D50,Consumption(ROW(D49),COLUMN(D49))),$C$1)</f>
        <v>23.07692307692308</v>
      </c>
      <c r="E49" s="11">
        <f t="shared" si="0"/>
        <v>230.7692307692308</v>
      </c>
      <c r="M49" s="23">
        <v>1.6225169103697488</v>
      </c>
      <c r="N49">
        <f t="shared" si="7"/>
        <v>1.6225169103697488</v>
      </c>
      <c r="O49">
        <f t="shared" si="4"/>
        <v>356.87200000000001</v>
      </c>
      <c r="P49">
        <f t="shared" si="2"/>
        <v>20</v>
      </c>
      <c r="Q49">
        <v>10</v>
      </c>
      <c r="R49">
        <f t="shared" si="5"/>
        <v>1269.9999999999995</v>
      </c>
      <c r="S49" s="11">
        <f t="shared" si="6"/>
        <v>7137.4400000000005</v>
      </c>
      <c r="T49">
        <f t="shared" si="3"/>
        <v>7137.4400000000005</v>
      </c>
    </row>
    <row r="50" spans="1:20" x14ac:dyDescent="0.25">
      <c r="A50" s="8">
        <v>41347</v>
      </c>
      <c r="B50" s="9"/>
      <c r="C50" s="9"/>
      <c r="D50" s="10">
        <f>IF(ISBLANK(C51),SUM(D51,Consumption(ROW(D50),COLUMN(D50))),$C$1)</f>
        <v>16.53846153846154</v>
      </c>
      <c r="E50" s="11">
        <f t="shared" si="0"/>
        <v>165.38461538461542</v>
      </c>
      <c r="M50" s="23">
        <v>0.57194075014998236</v>
      </c>
      <c r="N50">
        <f t="shared" si="7"/>
        <v>0.57194075014998236</v>
      </c>
      <c r="O50">
        <f t="shared" si="4"/>
        <v>360.32</v>
      </c>
      <c r="P50">
        <f t="shared" si="2"/>
        <v>0</v>
      </c>
      <c r="Q50">
        <v>10</v>
      </c>
      <c r="R50">
        <f t="shared" si="5"/>
        <v>1259.9999999999995</v>
      </c>
      <c r="S50" s="11">
        <f t="shared" si="6"/>
        <v>0</v>
      </c>
      <c r="T50">
        <f t="shared" si="3"/>
        <v>0</v>
      </c>
    </row>
    <row r="51" spans="1:20" x14ac:dyDescent="0.25">
      <c r="A51" s="8">
        <v>41348</v>
      </c>
      <c r="B51" s="9"/>
      <c r="C51" s="9"/>
      <c r="D51" s="10">
        <f>IF(ISBLANK(C52),SUM(D52,Consumption(ROW(D51),COLUMN(D51))),$C$1)</f>
        <v>10</v>
      </c>
      <c r="E51" s="11">
        <f t="shared" si="0"/>
        <v>100</v>
      </c>
      <c r="M51" s="23">
        <v>1.9843326704503652</v>
      </c>
      <c r="N51">
        <f t="shared" si="7"/>
        <v>1.9843326704503652</v>
      </c>
      <c r="O51">
        <f t="shared" si="4"/>
        <v>356.87200000000001</v>
      </c>
      <c r="P51">
        <f t="shared" si="2"/>
        <v>20</v>
      </c>
      <c r="Q51">
        <v>10</v>
      </c>
      <c r="R51">
        <f t="shared" si="5"/>
        <v>1269.9999999999995</v>
      </c>
      <c r="S51" s="11">
        <f t="shared" si="6"/>
        <v>7137.4400000000005</v>
      </c>
      <c r="T51">
        <f t="shared" si="3"/>
        <v>7137.4400000000005</v>
      </c>
    </row>
    <row r="52" spans="1:20" x14ac:dyDescent="0.25">
      <c r="A52" s="8">
        <v>41349</v>
      </c>
      <c r="B52" s="9">
        <v>332</v>
      </c>
      <c r="C52" s="9">
        <v>180</v>
      </c>
      <c r="D52" s="10">
        <f>IF(ISBLANK(C53),SUM(D53,Consumption(ROW(D52),COLUMN(D52))),$C$1)</f>
        <v>167.85714285714283</v>
      </c>
      <c r="E52" s="11">
        <f t="shared" si="0"/>
        <v>61438.571428571428</v>
      </c>
      <c r="M52" s="23">
        <v>3.2690621070885388</v>
      </c>
      <c r="N52">
        <f t="shared" si="7"/>
        <v>3.2690621070885388</v>
      </c>
      <c r="O52">
        <f t="shared" si="4"/>
        <v>349.976</v>
      </c>
      <c r="P52">
        <f t="shared" si="2"/>
        <v>60</v>
      </c>
      <c r="Q52">
        <v>11.428571428571429</v>
      </c>
      <c r="R52">
        <f t="shared" si="5"/>
        <v>1318.5714285714282</v>
      </c>
      <c r="S52" s="11">
        <f t="shared" si="6"/>
        <v>20998.560000000001</v>
      </c>
      <c r="T52">
        <f t="shared" si="3"/>
        <v>20998.560000000001</v>
      </c>
    </row>
    <row r="53" spans="1:20" x14ac:dyDescent="0.25">
      <c r="A53" s="8">
        <v>41350</v>
      </c>
      <c r="B53" s="9"/>
      <c r="C53" s="9"/>
      <c r="D53" s="10">
        <f>IF(ISBLANK(C54),SUM(D54,Consumption(ROW(D53),COLUMN(D53))),$C$1)</f>
        <v>155.71428571428569</v>
      </c>
      <c r="E53" s="11">
        <f t="shared" si="0"/>
        <v>1557.1428571428569</v>
      </c>
      <c r="M53" s="23">
        <v>1.0239357673674523</v>
      </c>
      <c r="N53">
        <f t="shared" si="7"/>
        <v>1.0239357673674523</v>
      </c>
      <c r="O53">
        <f t="shared" si="4"/>
        <v>356.87200000000001</v>
      </c>
      <c r="P53">
        <f t="shared" si="2"/>
        <v>20</v>
      </c>
      <c r="Q53">
        <v>11.428571428571429</v>
      </c>
      <c r="R53">
        <f t="shared" si="5"/>
        <v>1327.1428571428569</v>
      </c>
      <c r="S53" s="11">
        <f t="shared" si="6"/>
        <v>7137.4400000000005</v>
      </c>
      <c r="T53">
        <f t="shared" si="3"/>
        <v>7137.4400000000005</v>
      </c>
    </row>
    <row r="54" spans="1:20" x14ac:dyDescent="0.25">
      <c r="A54" s="8">
        <v>41351</v>
      </c>
      <c r="B54" s="9"/>
      <c r="C54" s="9"/>
      <c r="D54" s="10">
        <f>IF(ISBLANK(C55),SUM(D55,Consumption(ROW(D54),COLUMN(D54))),$C$1)</f>
        <v>143.57142857142856</v>
      </c>
      <c r="E54" s="11">
        <f t="shared" si="0"/>
        <v>1435.7142857142856</v>
      </c>
      <c r="M54" s="23">
        <v>2.4270040962970834</v>
      </c>
      <c r="N54">
        <f t="shared" si="7"/>
        <v>2.4270040962970834</v>
      </c>
      <c r="O54">
        <f t="shared" si="4"/>
        <v>353.42399999999998</v>
      </c>
      <c r="P54">
        <f t="shared" si="2"/>
        <v>40</v>
      </c>
      <c r="Q54">
        <v>11.428571428571429</v>
      </c>
      <c r="R54">
        <f t="shared" si="5"/>
        <v>1355.7142857142856</v>
      </c>
      <c r="S54" s="11">
        <f t="shared" si="6"/>
        <v>14136.96</v>
      </c>
      <c r="T54">
        <f t="shared" si="3"/>
        <v>14136.96</v>
      </c>
    </row>
    <row r="55" spans="1:20" x14ac:dyDescent="0.25">
      <c r="A55" s="8">
        <v>41352</v>
      </c>
      <c r="B55" s="9"/>
      <c r="C55" s="9"/>
      <c r="D55" s="10">
        <f>IF(ISBLANK(C56),SUM(D56,Consumption(ROW(D55),COLUMN(D55))),$C$1)</f>
        <v>131.42857142857142</v>
      </c>
      <c r="E55" s="11">
        <f t="shared" si="0"/>
        <v>1314.2857142857142</v>
      </c>
      <c r="M55" s="23">
        <v>3.8928135781981115</v>
      </c>
      <c r="N55">
        <f t="shared" si="7"/>
        <v>3.8928135781981115</v>
      </c>
      <c r="O55">
        <f t="shared" si="4"/>
        <v>349.976</v>
      </c>
      <c r="P55">
        <f t="shared" si="2"/>
        <v>60</v>
      </c>
      <c r="Q55">
        <v>11.428571428571429</v>
      </c>
      <c r="R55">
        <f t="shared" si="5"/>
        <v>1404.2857142857142</v>
      </c>
      <c r="S55" s="11">
        <f t="shared" si="6"/>
        <v>20998.560000000001</v>
      </c>
      <c r="T55">
        <f t="shared" si="3"/>
        <v>20998.560000000001</v>
      </c>
    </row>
    <row r="56" spans="1:20" x14ac:dyDescent="0.25">
      <c r="A56" s="8">
        <v>41353</v>
      </c>
      <c r="B56" s="9"/>
      <c r="C56" s="9"/>
      <c r="D56" s="10">
        <f>IF(ISBLANK(C57),SUM(D57,Consumption(ROW(D56),COLUMN(D56))),$C$1)</f>
        <v>119.28571428571426</v>
      </c>
      <c r="E56" s="11">
        <f t="shared" si="0"/>
        <v>1192.8571428571427</v>
      </c>
      <c r="M56" s="23">
        <v>3.2822922315831726</v>
      </c>
      <c r="N56">
        <f t="shared" si="7"/>
        <v>3.2822922315831726</v>
      </c>
      <c r="O56">
        <f t="shared" si="4"/>
        <v>349.976</v>
      </c>
      <c r="P56">
        <f t="shared" si="2"/>
        <v>60</v>
      </c>
      <c r="Q56">
        <v>11.428571428571429</v>
      </c>
      <c r="R56">
        <f t="shared" si="5"/>
        <v>1452.8571428571429</v>
      </c>
      <c r="S56" s="11">
        <f t="shared" si="6"/>
        <v>20998.560000000001</v>
      </c>
      <c r="T56">
        <f t="shared" si="3"/>
        <v>20998.560000000001</v>
      </c>
    </row>
    <row r="57" spans="1:20" x14ac:dyDescent="0.25">
      <c r="A57" s="8">
        <v>41354</v>
      </c>
      <c r="B57" s="9"/>
      <c r="C57" s="9"/>
      <c r="D57" s="10">
        <f>IF(ISBLANK(C58),SUM(D58,Consumption(ROW(D57),COLUMN(D57))),$C$1)</f>
        <v>107.14285714285712</v>
      </c>
      <c r="E57" s="11">
        <f t="shared" si="0"/>
        <v>1071.4285714285713</v>
      </c>
      <c r="M57" s="23">
        <v>1.0436231666447702</v>
      </c>
      <c r="N57">
        <f t="shared" si="7"/>
        <v>1.0436231666447702</v>
      </c>
      <c r="O57">
        <f t="shared" si="4"/>
        <v>356.87200000000001</v>
      </c>
      <c r="P57">
        <f t="shared" si="2"/>
        <v>20</v>
      </c>
      <c r="Q57">
        <v>11.428571428571429</v>
      </c>
      <c r="R57">
        <f t="shared" si="5"/>
        <v>1461.4285714285716</v>
      </c>
      <c r="S57" s="11">
        <f t="shared" si="6"/>
        <v>7137.4400000000005</v>
      </c>
      <c r="T57">
        <f t="shared" si="3"/>
        <v>7137.4400000000005</v>
      </c>
    </row>
    <row r="58" spans="1:20" x14ac:dyDescent="0.25">
      <c r="A58" s="8">
        <v>41355</v>
      </c>
      <c r="B58" s="9"/>
      <c r="C58" s="9"/>
      <c r="D58" s="10">
        <f>IF(ISBLANK(C59),SUM(D59,Consumption(ROW(D58),COLUMN(D58))),$C$1)</f>
        <v>94.999999999999986</v>
      </c>
      <c r="E58" s="11">
        <f t="shared" si="0"/>
        <v>949.99999999999989</v>
      </c>
      <c r="M58" s="23">
        <v>0.17456179865382696</v>
      </c>
      <c r="N58">
        <f t="shared" si="7"/>
        <v>0.17456179865382696</v>
      </c>
      <c r="O58">
        <f t="shared" si="4"/>
        <v>360.32</v>
      </c>
      <c r="P58">
        <f t="shared" si="2"/>
        <v>0</v>
      </c>
      <c r="Q58">
        <v>11.428571428571429</v>
      </c>
      <c r="R58">
        <f t="shared" si="5"/>
        <v>1450.0000000000002</v>
      </c>
      <c r="S58" s="11">
        <f t="shared" si="6"/>
        <v>0</v>
      </c>
      <c r="T58">
        <f t="shared" si="3"/>
        <v>0</v>
      </c>
    </row>
    <row r="59" spans="1:20" x14ac:dyDescent="0.25">
      <c r="A59" s="8">
        <v>41356</v>
      </c>
      <c r="B59" s="9"/>
      <c r="C59" s="9"/>
      <c r="D59" s="10">
        <f>IF(ISBLANK(C60),SUM(D60,Consumption(ROW(D59),COLUMN(D59))),$C$1)</f>
        <v>82.857142857142847</v>
      </c>
      <c r="E59" s="11">
        <f t="shared" si="0"/>
        <v>828.57142857142844</v>
      </c>
      <c r="M59" s="23">
        <v>2.7366223068612729</v>
      </c>
      <c r="N59">
        <f t="shared" si="7"/>
        <v>2.7366223068612729</v>
      </c>
      <c r="O59">
        <f t="shared" si="4"/>
        <v>353.42399999999998</v>
      </c>
      <c r="P59">
        <f t="shared" si="2"/>
        <v>40</v>
      </c>
      <c r="Q59">
        <v>11.428571428571429</v>
      </c>
      <c r="R59">
        <f t="shared" si="5"/>
        <v>1478.5714285714289</v>
      </c>
      <c r="S59" s="11">
        <f t="shared" si="6"/>
        <v>14136.96</v>
      </c>
      <c r="T59">
        <f t="shared" si="3"/>
        <v>14136.96</v>
      </c>
    </row>
    <row r="60" spans="1:20" x14ac:dyDescent="0.25">
      <c r="A60" s="8">
        <v>41357</v>
      </c>
      <c r="B60" s="9"/>
      <c r="C60" s="9"/>
      <c r="D60" s="10">
        <f>IF(ISBLANK(C61),SUM(D61,Consumption(ROW(D60),COLUMN(D60))),$C$1)</f>
        <v>70.714285714285708</v>
      </c>
      <c r="E60" s="11">
        <f t="shared" si="0"/>
        <v>707.14285714285711</v>
      </c>
      <c r="M60" s="23">
        <v>0.26646951412152009</v>
      </c>
      <c r="N60">
        <f t="shared" si="7"/>
        <v>0.26646951412152009</v>
      </c>
      <c r="O60">
        <f t="shared" si="4"/>
        <v>360.32</v>
      </c>
      <c r="P60">
        <f t="shared" si="2"/>
        <v>0</v>
      </c>
      <c r="Q60">
        <v>11.428571428571429</v>
      </c>
      <c r="R60">
        <f t="shared" si="5"/>
        <v>1467.1428571428576</v>
      </c>
      <c r="S60" s="11">
        <f t="shared" si="6"/>
        <v>0</v>
      </c>
      <c r="T60">
        <f t="shared" si="3"/>
        <v>0</v>
      </c>
    </row>
    <row r="61" spans="1:20" x14ac:dyDescent="0.25">
      <c r="A61" s="8">
        <v>41358</v>
      </c>
      <c r="B61" s="9"/>
      <c r="C61" s="9"/>
      <c r="D61" s="10">
        <f>IF(ISBLANK(C62),SUM(D62,Consumption(ROW(D61),COLUMN(D61))),$C$1)</f>
        <v>58.571428571428569</v>
      </c>
      <c r="E61" s="11">
        <f t="shared" si="0"/>
        <v>585.71428571428567</v>
      </c>
      <c r="M61" s="23">
        <v>1.4446136194489028</v>
      </c>
      <c r="N61">
        <f t="shared" si="7"/>
        <v>1.4446136194489028</v>
      </c>
      <c r="O61">
        <f t="shared" si="4"/>
        <v>356.87200000000001</v>
      </c>
      <c r="P61">
        <f t="shared" si="2"/>
        <v>20</v>
      </c>
      <c r="Q61">
        <v>11.428571428571429</v>
      </c>
      <c r="R61">
        <f t="shared" si="5"/>
        <v>1475.7142857142862</v>
      </c>
      <c r="S61" s="11">
        <f t="shared" si="6"/>
        <v>7137.4400000000005</v>
      </c>
      <c r="T61">
        <f t="shared" si="3"/>
        <v>7137.4400000000005</v>
      </c>
    </row>
    <row r="62" spans="1:20" x14ac:dyDescent="0.25">
      <c r="A62" s="8">
        <v>41359</v>
      </c>
      <c r="B62" s="9"/>
      <c r="C62" s="9"/>
      <c r="D62" s="10">
        <f>IF(ISBLANK(C63),SUM(D63,Consumption(ROW(D62),COLUMN(D62))),$C$1)</f>
        <v>46.428571428571431</v>
      </c>
      <c r="E62" s="11">
        <f t="shared" si="0"/>
        <v>464.28571428571433</v>
      </c>
      <c r="M62" s="23">
        <v>2.2300390592916117</v>
      </c>
      <c r="N62">
        <f t="shared" si="7"/>
        <v>2.2300390592916117</v>
      </c>
      <c r="O62">
        <f t="shared" si="4"/>
        <v>353.42399999999998</v>
      </c>
      <c r="P62">
        <f t="shared" si="2"/>
        <v>40</v>
      </c>
      <c r="Q62">
        <v>11.428571428571429</v>
      </c>
      <c r="R62">
        <f t="shared" si="5"/>
        <v>1504.2857142857149</v>
      </c>
      <c r="S62" s="11">
        <f t="shared" si="6"/>
        <v>14136.96</v>
      </c>
      <c r="T62">
        <f t="shared" si="3"/>
        <v>14136.96</v>
      </c>
    </row>
    <row r="63" spans="1:20" x14ac:dyDescent="0.25">
      <c r="A63" s="8">
        <v>41360</v>
      </c>
      <c r="B63" s="9"/>
      <c r="C63" s="9"/>
      <c r="D63" s="10">
        <f>IF(ISBLANK(C64),SUM(D64,Consumption(ROW(D63),COLUMN(D63))),$C$1)</f>
        <v>34.285714285714285</v>
      </c>
      <c r="E63" s="11">
        <f t="shared" si="0"/>
        <v>342.85714285714283</v>
      </c>
      <c r="M63" s="23">
        <v>4.6008400640454333E-2</v>
      </c>
      <c r="N63">
        <f t="shared" si="7"/>
        <v>4.6008400640454333E-2</v>
      </c>
      <c r="O63">
        <f t="shared" si="4"/>
        <v>360.32</v>
      </c>
      <c r="P63">
        <f t="shared" si="2"/>
        <v>0</v>
      </c>
      <c r="Q63">
        <v>11.428571428571429</v>
      </c>
      <c r="R63">
        <f t="shared" si="5"/>
        <v>1492.8571428571436</v>
      </c>
      <c r="S63" s="11">
        <f t="shared" si="6"/>
        <v>0</v>
      </c>
      <c r="T63">
        <f t="shared" si="3"/>
        <v>0</v>
      </c>
    </row>
    <row r="64" spans="1:20" x14ac:dyDescent="0.25">
      <c r="A64" s="8">
        <v>41361</v>
      </c>
      <c r="B64" s="9"/>
      <c r="C64" s="9"/>
      <c r="D64" s="10">
        <f>IF(ISBLANK(C65),SUM(D65,Consumption(ROW(D64),COLUMN(D64))),$C$1)</f>
        <v>22.142857142857142</v>
      </c>
      <c r="E64" s="11">
        <f t="shared" si="0"/>
        <v>221.42857142857142</v>
      </c>
      <c r="M64" s="23">
        <v>0.69629968176423562</v>
      </c>
      <c r="N64">
        <f t="shared" si="7"/>
        <v>0.69629968176423562</v>
      </c>
      <c r="O64">
        <f t="shared" si="4"/>
        <v>360.32</v>
      </c>
      <c r="P64">
        <f t="shared" si="2"/>
        <v>0</v>
      </c>
      <c r="Q64">
        <v>11.428571428571429</v>
      </c>
      <c r="R64">
        <f t="shared" si="5"/>
        <v>1481.4285714285722</v>
      </c>
      <c r="S64" s="11">
        <f t="shared" si="6"/>
        <v>0</v>
      </c>
      <c r="T64">
        <f t="shared" si="3"/>
        <v>0</v>
      </c>
    </row>
    <row r="65" spans="1:20" x14ac:dyDescent="0.25">
      <c r="A65" s="8">
        <v>41362</v>
      </c>
      <c r="B65" s="9"/>
      <c r="C65" s="9"/>
      <c r="D65" s="10">
        <f>IF(ISBLANK(C66),SUM(D66,Consumption(ROW(D65),COLUMN(D65))),$C$1)</f>
        <v>10</v>
      </c>
      <c r="E65" s="11">
        <f t="shared" si="0"/>
        <v>100</v>
      </c>
      <c r="M65" s="23">
        <v>3.8743412214677506</v>
      </c>
      <c r="N65">
        <f t="shared" si="7"/>
        <v>3.8743412214677506</v>
      </c>
      <c r="O65">
        <f t="shared" si="4"/>
        <v>349.976</v>
      </c>
      <c r="P65">
        <f t="shared" si="2"/>
        <v>60</v>
      </c>
      <c r="Q65">
        <v>11.428571428571429</v>
      </c>
      <c r="R65">
        <f t="shared" si="5"/>
        <v>1530.0000000000009</v>
      </c>
      <c r="S65" s="11">
        <f t="shared" si="6"/>
        <v>20998.560000000001</v>
      </c>
      <c r="T65">
        <f t="shared" si="3"/>
        <v>20998.560000000001</v>
      </c>
    </row>
    <row r="66" spans="1:20" x14ac:dyDescent="0.25">
      <c r="A66" s="8">
        <v>41363</v>
      </c>
      <c r="B66" s="9">
        <v>350</v>
      </c>
      <c r="C66" s="9">
        <v>80</v>
      </c>
      <c r="D66" s="10">
        <f>IF(ISBLANK(C67),SUM(D67,Consumption(ROW(D66),COLUMN(D66))),$C$1)</f>
        <v>75</v>
      </c>
      <c r="E66" s="11">
        <f t="shared" si="0"/>
        <v>28750</v>
      </c>
      <c r="M66" s="23">
        <v>3.6211020777100242</v>
      </c>
      <c r="N66">
        <f t="shared" si="7"/>
        <v>3.6211020777100242</v>
      </c>
      <c r="O66">
        <f t="shared" si="4"/>
        <v>349.976</v>
      </c>
      <c r="P66">
        <f t="shared" si="2"/>
        <v>60</v>
      </c>
      <c r="Q66">
        <v>4.2857142857142856</v>
      </c>
      <c r="R66">
        <f t="shared" si="5"/>
        <v>1585.7142857142867</v>
      </c>
      <c r="S66" s="11">
        <f t="shared" si="6"/>
        <v>20998.560000000001</v>
      </c>
      <c r="T66">
        <f t="shared" si="3"/>
        <v>20998.560000000001</v>
      </c>
    </row>
    <row r="67" spans="1:20" x14ac:dyDescent="0.25">
      <c r="A67" s="8">
        <v>41364</v>
      </c>
      <c r="B67" s="9"/>
      <c r="C67" s="9"/>
      <c r="D67" s="10">
        <f>IF(ISBLANK(C68),SUM(D68,Consumption(ROW(D67),COLUMN(D67))),$C$1)</f>
        <v>70</v>
      </c>
      <c r="E67" s="11">
        <f t="shared" ref="E67:E95" si="8">$E$1*D67+B67*C67</f>
        <v>700</v>
      </c>
      <c r="M67" s="23">
        <v>0.26340543863522142</v>
      </c>
      <c r="N67">
        <f t="shared" si="7"/>
        <v>0.26340543863522142</v>
      </c>
      <c r="O67">
        <f t="shared" si="4"/>
        <v>360.32</v>
      </c>
      <c r="P67">
        <f t="shared" si="2"/>
        <v>0</v>
      </c>
      <c r="Q67">
        <v>4.2857142857142856</v>
      </c>
      <c r="R67">
        <f t="shared" si="5"/>
        <v>1581.4285714285725</v>
      </c>
      <c r="S67" s="11">
        <f t="shared" si="6"/>
        <v>0</v>
      </c>
      <c r="T67">
        <f t="shared" si="3"/>
        <v>0</v>
      </c>
    </row>
    <row r="68" spans="1:20" x14ac:dyDescent="0.25">
      <c r="A68" s="8">
        <v>41365</v>
      </c>
      <c r="B68" s="9"/>
      <c r="C68" s="9"/>
      <c r="D68" s="10">
        <f>IF(ISBLANK(C69),SUM(D69,Consumption(ROW(D68),COLUMN(D68))),$C$1)</f>
        <v>65</v>
      </c>
      <c r="E68" s="11">
        <f t="shared" si="8"/>
        <v>650</v>
      </c>
      <c r="M68" s="23">
        <v>1.7942186434726315</v>
      </c>
      <c r="N68">
        <f t="shared" si="7"/>
        <v>1.7942186434726315</v>
      </c>
      <c r="O68">
        <f t="shared" si="4"/>
        <v>356.87200000000001</v>
      </c>
      <c r="P68">
        <f t="shared" ref="P68:P95" si="9">LOOKUP(N68,$G$36:$H$41)</f>
        <v>20</v>
      </c>
      <c r="Q68">
        <v>4.2857142857142856</v>
      </c>
      <c r="R68">
        <f t="shared" si="5"/>
        <v>1597.1428571428582</v>
      </c>
      <c r="S68" s="11">
        <f t="shared" si="6"/>
        <v>7137.4400000000005</v>
      </c>
      <c r="T68">
        <f t="shared" ref="T68:T95" si="10">LOOKUP(M68,$G$36:$G$40,$I$36:$I$40)</f>
        <v>7137.4400000000005</v>
      </c>
    </row>
    <row r="69" spans="1:20" x14ac:dyDescent="0.25">
      <c r="A69" s="8">
        <v>41366</v>
      </c>
      <c r="B69" s="9"/>
      <c r="C69" s="9"/>
      <c r="D69" s="10">
        <f>IF(ISBLANK(C70),SUM(D70,Consumption(ROW(D69),COLUMN(D69))),$C$1)</f>
        <v>60</v>
      </c>
      <c r="E69" s="11">
        <f t="shared" si="8"/>
        <v>600</v>
      </c>
      <c r="M69" s="23">
        <v>3.0552071421664242</v>
      </c>
      <c r="N69">
        <f t="shared" si="7"/>
        <v>3.0552071421664242</v>
      </c>
      <c r="O69">
        <f t="shared" ref="O69:O95" si="11">(P69*P69*$G$33+P69*$H$33+$I$33)</f>
        <v>349.976</v>
      </c>
      <c r="P69">
        <f t="shared" si="9"/>
        <v>60</v>
      </c>
      <c r="Q69">
        <v>4.2857142857142856</v>
      </c>
      <c r="R69">
        <f t="shared" ref="R69:R95" si="12">R68+P69-Q69</f>
        <v>1652.857142857144</v>
      </c>
      <c r="S69" s="11">
        <f t="shared" ref="S69:S95" si="13">$S$1*R69+P69*O69</f>
        <v>20998.560000000001</v>
      </c>
      <c r="T69">
        <f t="shared" si="10"/>
        <v>20998.560000000001</v>
      </c>
    </row>
    <row r="70" spans="1:20" x14ac:dyDescent="0.25">
      <c r="A70" s="8">
        <v>41367</v>
      </c>
      <c r="B70" s="9"/>
      <c r="C70" s="9"/>
      <c r="D70" s="10">
        <f>IF(ISBLANK(C71),SUM(D71,Consumption(ROW(D70),COLUMN(D70))),$C$1)</f>
        <v>55</v>
      </c>
      <c r="E70" s="11">
        <f t="shared" si="8"/>
        <v>550</v>
      </c>
      <c r="M70" s="23">
        <v>3.5495925431836364</v>
      </c>
      <c r="N70">
        <f t="shared" si="7"/>
        <v>3.5495925431836364</v>
      </c>
      <c r="O70">
        <f t="shared" si="11"/>
        <v>349.976</v>
      </c>
      <c r="P70">
        <f t="shared" si="9"/>
        <v>60</v>
      </c>
      <c r="Q70">
        <v>4.2857142857142856</v>
      </c>
      <c r="R70">
        <f t="shared" si="12"/>
        <v>1708.5714285714298</v>
      </c>
      <c r="S70" s="11">
        <f t="shared" si="13"/>
        <v>20998.560000000001</v>
      </c>
      <c r="T70">
        <f t="shared" si="10"/>
        <v>20998.560000000001</v>
      </c>
    </row>
    <row r="71" spans="1:20" x14ac:dyDescent="0.25">
      <c r="A71" s="8">
        <v>41368</v>
      </c>
      <c r="B71" s="9"/>
      <c r="C71" s="9"/>
      <c r="D71" s="10">
        <f>IF(ISBLANK(C72),SUM(D72,Consumption(ROW(D71),COLUMN(D71))),$C$1)</f>
        <v>50</v>
      </c>
      <c r="E71" s="11">
        <f t="shared" si="8"/>
        <v>500</v>
      </c>
      <c r="M71" s="23">
        <v>2.5933806777900927</v>
      </c>
      <c r="N71">
        <f t="shared" si="7"/>
        <v>2.5933806777900927</v>
      </c>
      <c r="O71">
        <f t="shared" si="11"/>
        <v>353.42399999999998</v>
      </c>
      <c r="P71">
        <f t="shared" si="9"/>
        <v>40</v>
      </c>
      <c r="Q71">
        <v>4.2857142857142856</v>
      </c>
      <c r="R71">
        <f t="shared" si="12"/>
        <v>1744.2857142857156</v>
      </c>
      <c r="S71" s="11">
        <f t="shared" si="13"/>
        <v>14136.96</v>
      </c>
      <c r="T71">
        <f t="shared" si="10"/>
        <v>14136.96</v>
      </c>
    </row>
    <row r="72" spans="1:20" x14ac:dyDescent="0.25">
      <c r="A72" s="8">
        <v>41369</v>
      </c>
      <c r="B72" s="9"/>
      <c r="C72" s="9"/>
      <c r="D72" s="10">
        <f>IF(ISBLANK(C73),SUM(D73,Consumption(ROW(D72),COLUMN(D72))),$C$1)</f>
        <v>45</v>
      </c>
      <c r="E72" s="11">
        <f t="shared" si="8"/>
        <v>450</v>
      </c>
      <c r="M72" s="23">
        <v>2.3523854084091194</v>
      </c>
      <c r="N72">
        <f t="shared" si="7"/>
        <v>2.3523854084091194</v>
      </c>
      <c r="O72">
        <f t="shared" si="11"/>
        <v>353.42399999999998</v>
      </c>
      <c r="P72">
        <f t="shared" si="9"/>
        <v>40</v>
      </c>
      <c r="Q72">
        <v>4.2857142857142856</v>
      </c>
      <c r="R72">
        <f t="shared" si="12"/>
        <v>1780.0000000000014</v>
      </c>
      <c r="S72" s="11">
        <f t="shared" si="13"/>
        <v>14136.96</v>
      </c>
      <c r="T72">
        <f t="shared" si="10"/>
        <v>14136.96</v>
      </c>
    </row>
    <row r="73" spans="1:20" x14ac:dyDescent="0.25">
      <c r="A73" s="8">
        <v>41370</v>
      </c>
      <c r="B73" s="9"/>
      <c r="C73" s="9"/>
      <c r="D73" s="10">
        <f>IF(ISBLANK(C74),SUM(D74,Consumption(ROW(D73),COLUMN(D73))),$C$1)</f>
        <v>40</v>
      </c>
      <c r="E73" s="11">
        <f t="shared" si="8"/>
        <v>400</v>
      </c>
      <c r="M73" s="23">
        <v>2.9854902657612645</v>
      </c>
      <c r="N73">
        <f t="shared" si="7"/>
        <v>2.9854902657612645</v>
      </c>
      <c r="O73">
        <f t="shared" si="11"/>
        <v>353.42399999999998</v>
      </c>
      <c r="P73">
        <f t="shared" si="9"/>
        <v>40</v>
      </c>
      <c r="Q73">
        <v>4.2857142857142856</v>
      </c>
      <c r="R73">
        <f t="shared" si="12"/>
        <v>1815.7142857142871</v>
      </c>
      <c r="S73" s="11">
        <f t="shared" si="13"/>
        <v>14136.96</v>
      </c>
      <c r="T73">
        <f t="shared" si="10"/>
        <v>14136.96</v>
      </c>
    </row>
    <row r="74" spans="1:20" x14ac:dyDescent="0.25">
      <c r="A74" s="8">
        <v>41371</v>
      </c>
      <c r="B74" s="9"/>
      <c r="C74" s="9"/>
      <c r="D74" s="10">
        <f>IF(ISBLANK(C75),SUM(D75,Consumption(ROW(D74),COLUMN(D74))),$C$1)</f>
        <v>35</v>
      </c>
      <c r="E74" s="11">
        <f t="shared" si="8"/>
        <v>350</v>
      </c>
      <c r="M74" s="23">
        <v>2.6383540773011531</v>
      </c>
      <c r="N74">
        <f t="shared" si="7"/>
        <v>2.6383540773011531</v>
      </c>
      <c r="O74">
        <f t="shared" si="11"/>
        <v>353.42399999999998</v>
      </c>
      <c r="P74">
        <f t="shared" si="9"/>
        <v>40</v>
      </c>
      <c r="Q74">
        <v>4.2857142857142856</v>
      </c>
      <c r="R74">
        <f t="shared" si="12"/>
        <v>1851.4285714285729</v>
      </c>
      <c r="S74" s="11">
        <f t="shared" si="13"/>
        <v>14136.96</v>
      </c>
      <c r="T74">
        <f t="shared" si="10"/>
        <v>14136.96</v>
      </c>
    </row>
    <row r="75" spans="1:20" x14ac:dyDescent="0.25">
      <c r="A75" s="8">
        <v>41372</v>
      </c>
      <c r="B75" s="9"/>
      <c r="C75" s="9"/>
      <c r="D75" s="10">
        <f>IF(ISBLANK(C76),SUM(D76,Consumption(ROW(D75),COLUMN(D75))),$C$1)</f>
        <v>30</v>
      </c>
      <c r="E75" s="11">
        <f t="shared" si="8"/>
        <v>300</v>
      </c>
      <c r="M75" s="23">
        <v>1.387623860215593</v>
      </c>
      <c r="N75">
        <f t="shared" si="7"/>
        <v>1.387623860215593</v>
      </c>
      <c r="O75">
        <f t="shared" si="11"/>
        <v>356.87200000000001</v>
      </c>
      <c r="P75">
        <f t="shared" si="9"/>
        <v>20</v>
      </c>
      <c r="Q75">
        <v>4.2857142857142856</v>
      </c>
      <c r="R75">
        <f t="shared" si="12"/>
        <v>1867.1428571428587</v>
      </c>
      <c r="S75" s="11">
        <f t="shared" si="13"/>
        <v>7137.4400000000005</v>
      </c>
      <c r="T75">
        <f t="shared" si="10"/>
        <v>7137.4400000000005</v>
      </c>
    </row>
    <row r="76" spans="1:20" x14ac:dyDescent="0.25">
      <c r="A76" s="8">
        <v>41373</v>
      </c>
      <c r="B76" s="9"/>
      <c r="C76" s="9"/>
      <c r="D76" s="10">
        <f>IF(ISBLANK(C77),SUM(D77,Consumption(ROW(D76),COLUMN(D76))),$C$1)</f>
        <v>25</v>
      </c>
      <c r="E76" s="11">
        <f t="shared" si="8"/>
        <v>250</v>
      </c>
      <c r="M76" s="23">
        <v>3.4327408445220167</v>
      </c>
      <c r="N76">
        <f t="shared" ref="N76:N95" si="14">SUM(M76:M76)</f>
        <v>3.4327408445220167</v>
      </c>
      <c r="O76">
        <f t="shared" si="11"/>
        <v>349.976</v>
      </c>
      <c r="P76">
        <f t="shared" si="9"/>
        <v>60</v>
      </c>
      <c r="Q76">
        <v>4.2857142857142856</v>
      </c>
      <c r="R76">
        <f t="shared" si="12"/>
        <v>1922.8571428571445</v>
      </c>
      <c r="S76" s="11">
        <f t="shared" si="13"/>
        <v>20998.560000000001</v>
      </c>
      <c r="T76">
        <f t="shared" si="10"/>
        <v>20998.560000000001</v>
      </c>
    </row>
    <row r="77" spans="1:20" x14ac:dyDescent="0.25">
      <c r="A77" s="8">
        <v>41374</v>
      </c>
      <c r="B77" s="9"/>
      <c r="C77" s="9"/>
      <c r="D77" s="10">
        <f>IF(ISBLANK(C78),SUM(D78,Consumption(ROW(D77),COLUMN(D77))),$C$1)</f>
        <v>20</v>
      </c>
      <c r="E77" s="11">
        <f t="shared" si="8"/>
        <v>200</v>
      </c>
      <c r="M77" s="23">
        <v>3.3171828888902359</v>
      </c>
      <c r="N77">
        <f t="shared" si="14"/>
        <v>3.3171828888902359</v>
      </c>
      <c r="O77">
        <f t="shared" si="11"/>
        <v>349.976</v>
      </c>
      <c r="P77">
        <f t="shared" si="9"/>
        <v>60</v>
      </c>
      <c r="Q77">
        <v>4.2857142857142856</v>
      </c>
      <c r="R77">
        <f t="shared" si="12"/>
        <v>1978.5714285714303</v>
      </c>
      <c r="S77" s="11">
        <f t="shared" si="13"/>
        <v>20998.560000000001</v>
      </c>
      <c r="T77">
        <f t="shared" si="10"/>
        <v>20998.560000000001</v>
      </c>
    </row>
    <row r="78" spans="1:20" x14ac:dyDescent="0.25">
      <c r="A78" s="8">
        <v>41375</v>
      </c>
      <c r="B78" s="9"/>
      <c r="C78" s="9"/>
      <c r="D78" s="10">
        <f>IF(ISBLANK(C79),SUM(D79,Consumption(ROW(D78),COLUMN(D78))),$C$1)</f>
        <v>15</v>
      </c>
      <c r="E78" s="11">
        <f t="shared" si="8"/>
        <v>150</v>
      </c>
      <c r="M78" s="23">
        <v>3.3286436103883403</v>
      </c>
      <c r="N78">
        <f t="shared" si="14"/>
        <v>3.3286436103883403</v>
      </c>
      <c r="O78">
        <f t="shared" si="11"/>
        <v>349.976</v>
      </c>
      <c r="P78">
        <f t="shared" si="9"/>
        <v>60</v>
      </c>
      <c r="Q78">
        <v>4.2857142857142856</v>
      </c>
      <c r="R78">
        <f t="shared" si="12"/>
        <v>2034.285714285716</v>
      </c>
      <c r="S78" s="11">
        <f t="shared" si="13"/>
        <v>20998.560000000001</v>
      </c>
      <c r="T78">
        <f t="shared" si="10"/>
        <v>20998.560000000001</v>
      </c>
    </row>
    <row r="79" spans="1:20" x14ac:dyDescent="0.25">
      <c r="A79" s="8">
        <v>41376</v>
      </c>
      <c r="B79" s="9"/>
      <c r="C79" s="9"/>
      <c r="D79" s="10">
        <f>IF(ISBLANK(C80),SUM(D80,Consumption(ROW(D79),COLUMN(D79))),$C$1)</f>
        <v>10</v>
      </c>
      <c r="E79" s="11">
        <f t="shared" si="8"/>
        <v>100</v>
      </c>
      <c r="M79" s="23">
        <v>1.6110180661133575</v>
      </c>
      <c r="N79">
        <f t="shared" si="14"/>
        <v>1.6110180661133575</v>
      </c>
      <c r="O79">
        <f t="shared" si="11"/>
        <v>356.87200000000001</v>
      </c>
      <c r="P79">
        <f t="shared" si="9"/>
        <v>20</v>
      </c>
      <c r="Q79">
        <v>4.2857142857142856</v>
      </c>
      <c r="R79">
        <f t="shared" si="12"/>
        <v>2050.0000000000018</v>
      </c>
      <c r="S79" s="11">
        <f t="shared" si="13"/>
        <v>7137.4400000000005</v>
      </c>
      <c r="T79">
        <f t="shared" si="10"/>
        <v>7137.4400000000005</v>
      </c>
    </row>
    <row r="80" spans="1:20" x14ac:dyDescent="0.25">
      <c r="A80" s="8">
        <v>41377</v>
      </c>
      <c r="B80" s="9">
        <v>332</v>
      </c>
      <c r="C80" s="9">
        <v>180</v>
      </c>
      <c r="D80" s="10">
        <f>IF(ISBLANK(C81),SUM(D81,Consumption(ROW(D80),COLUMN(D80))),$C$1)</f>
        <v>167.85714285714283</v>
      </c>
      <c r="E80" s="11">
        <f t="shared" si="8"/>
        <v>61438.571428571428</v>
      </c>
      <c r="M80" s="23">
        <v>0.56257049393028513</v>
      </c>
      <c r="N80">
        <f t="shared" si="14"/>
        <v>0.56257049393028513</v>
      </c>
      <c r="O80">
        <f t="shared" si="11"/>
        <v>360.32</v>
      </c>
      <c r="P80">
        <f t="shared" si="9"/>
        <v>0</v>
      </c>
      <c r="Q80">
        <v>11.428571428571429</v>
      </c>
      <c r="R80">
        <f t="shared" si="12"/>
        <v>2038.5714285714305</v>
      </c>
      <c r="S80" s="11">
        <f t="shared" si="13"/>
        <v>0</v>
      </c>
      <c r="T80">
        <f t="shared" si="10"/>
        <v>0</v>
      </c>
    </row>
    <row r="81" spans="1:20" x14ac:dyDescent="0.25">
      <c r="A81" s="8">
        <v>41378</v>
      </c>
      <c r="B81" s="9"/>
      <c r="C81" s="9"/>
      <c r="D81" s="10">
        <f>IF(ISBLANK(C82),SUM(D82,Consumption(ROW(D81),COLUMN(D81))),$C$1)</f>
        <v>155.71428571428569</v>
      </c>
      <c r="E81" s="11">
        <f t="shared" si="8"/>
        <v>1557.1428571428569</v>
      </c>
      <c r="M81" s="23">
        <v>3.1222914863015951</v>
      </c>
      <c r="N81">
        <f t="shared" si="14"/>
        <v>3.1222914863015951</v>
      </c>
      <c r="O81">
        <f t="shared" si="11"/>
        <v>349.976</v>
      </c>
      <c r="P81">
        <f t="shared" si="9"/>
        <v>60</v>
      </c>
      <c r="Q81">
        <v>11.428571428571429</v>
      </c>
      <c r="R81">
        <f t="shared" si="12"/>
        <v>2087.1428571428587</v>
      </c>
      <c r="S81" s="11">
        <f t="shared" si="13"/>
        <v>20998.560000000001</v>
      </c>
      <c r="T81">
        <f t="shared" si="10"/>
        <v>20998.560000000001</v>
      </c>
    </row>
    <row r="82" spans="1:20" x14ac:dyDescent="0.25">
      <c r="A82" s="8">
        <v>41379</v>
      </c>
      <c r="B82" s="9"/>
      <c r="C82" s="9"/>
      <c r="D82" s="10">
        <f>IF(ISBLANK(C83),SUM(D83,Consumption(ROW(D82),COLUMN(D82))),$C$1)</f>
        <v>143.57142857142856</v>
      </c>
      <c r="E82" s="11">
        <f t="shared" si="8"/>
        <v>1435.7142857142856</v>
      </c>
      <c r="M82" s="23">
        <v>2.1328832684703558</v>
      </c>
      <c r="N82">
        <f t="shared" si="14"/>
        <v>2.1328832684703558</v>
      </c>
      <c r="O82">
        <f t="shared" si="11"/>
        <v>353.42399999999998</v>
      </c>
      <c r="P82">
        <f t="shared" si="9"/>
        <v>40</v>
      </c>
      <c r="Q82">
        <v>11.428571428571429</v>
      </c>
      <c r="R82">
        <f t="shared" si="12"/>
        <v>2115.7142857142871</v>
      </c>
      <c r="S82" s="11">
        <f t="shared" si="13"/>
        <v>14136.96</v>
      </c>
      <c r="T82">
        <f t="shared" si="10"/>
        <v>14136.96</v>
      </c>
    </row>
    <row r="83" spans="1:20" x14ac:dyDescent="0.25">
      <c r="A83" s="8">
        <v>41380</v>
      </c>
      <c r="B83" s="9"/>
      <c r="C83" s="9"/>
      <c r="D83" s="10">
        <f>IF(ISBLANK(C84),SUM(D84,Consumption(ROW(D83),COLUMN(D83))),$C$1)</f>
        <v>131.42857142857142</v>
      </c>
      <c r="E83" s="11">
        <f t="shared" si="8"/>
        <v>1314.2857142857142</v>
      </c>
      <c r="M83" s="23">
        <v>2.0753738815315876</v>
      </c>
      <c r="N83">
        <f t="shared" si="14"/>
        <v>2.0753738815315876</v>
      </c>
      <c r="O83">
        <f t="shared" si="11"/>
        <v>353.42399999999998</v>
      </c>
      <c r="P83">
        <f t="shared" si="9"/>
        <v>40</v>
      </c>
      <c r="Q83">
        <v>11.428571428571429</v>
      </c>
      <c r="R83">
        <f t="shared" si="12"/>
        <v>2144.2857142857156</v>
      </c>
      <c r="S83" s="11">
        <f t="shared" si="13"/>
        <v>14136.96</v>
      </c>
      <c r="T83">
        <f t="shared" si="10"/>
        <v>14136.96</v>
      </c>
    </row>
    <row r="84" spans="1:20" x14ac:dyDescent="0.25">
      <c r="A84" s="8">
        <v>41381</v>
      </c>
      <c r="B84" s="9"/>
      <c r="C84" s="9"/>
      <c r="D84" s="10">
        <f>IF(ISBLANK(C85),SUM(D85,Consumption(ROW(D84),COLUMN(D84))),$C$1)</f>
        <v>119.28571428571426</v>
      </c>
      <c r="E84" s="11">
        <f t="shared" si="8"/>
        <v>1192.8571428571427</v>
      </c>
      <c r="M84" s="23">
        <v>2.5531238403884338</v>
      </c>
      <c r="N84">
        <f t="shared" si="14"/>
        <v>2.5531238403884338</v>
      </c>
      <c r="O84">
        <f t="shared" si="11"/>
        <v>353.42399999999998</v>
      </c>
      <c r="P84">
        <f t="shared" si="9"/>
        <v>40</v>
      </c>
      <c r="Q84">
        <v>11.428571428571429</v>
      </c>
      <c r="R84">
        <f t="shared" si="12"/>
        <v>2172.857142857144</v>
      </c>
      <c r="S84" s="11">
        <f t="shared" si="13"/>
        <v>14136.96</v>
      </c>
      <c r="T84">
        <f t="shared" si="10"/>
        <v>14136.96</v>
      </c>
    </row>
    <row r="85" spans="1:20" x14ac:dyDescent="0.25">
      <c r="A85" s="8">
        <v>41382</v>
      </c>
      <c r="B85" s="9"/>
      <c r="C85" s="9"/>
      <c r="D85" s="10">
        <f>IF(ISBLANK(C86),SUM(D86,Consumption(ROW(D85),COLUMN(D85))),$C$1)</f>
        <v>107.14285714285712</v>
      </c>
      <c r="E85" s="11">
        <f t="shared" si="8"/>
        <v>1071.4285714285713</v>
      </c>
      <c r="M85" s="23">
        <v>0.34909763203426153</v>
      </c>
      <c r="N85">
        <f t="shared" si="14"/>
        <v>0.34909763203426153</v>
      </c>
      <c r="O85">
        <f t="shared" si="11"/>
        <v>360.32</v>
      </c>
      <c r="P85">
        <f t="shared" si="9"/>
        <v>0</v>
      </c>
      <c r="Q85">
        <v>11.428571428571429</v>
      </c>
      <c r="R85">
        <f t="shared" si="12"/>
        <v>2161.4285714285725</v>
      </c>
      <c r="S85" s="11">
        <f t="shared" si="13"/>
        <v>0</v>
      </c>
      <c r="T85">
        <f t="shared" si="10"/>
        <v>0</v>
      </c>
    </row>
    <row r="86" spans="1:20" x14ac:dyDescent="0.25">
      <c r="A86" s="8">
        <v>41383</v>
      </c>
      <c r="B86" s="9"/>
      <c r="C86" s="9"/>
      <c r="D86" s="10">
        <f>IF(ISBLANK(C87),SUM(D87,Consumption(ROW(D86),COLUMN(D86))),$C$1)</f>
        <v>94.999999999999986</v>
      </c>
      <c r="E86" s="11">
        <f t="shared" si="8"/>
        <v>949.99999999999989</v>
      </c>
      <c r="M86" s="23">
        <v>2.9490516180866639</v>
      </c>
      <c r="N86">
        <f t="shared" si="14"/>
        <v>2.9490516180866639</v>
      </c>
      <c r="O86">
        <f t="shared" si="11"/>
        <v>353.42399999999998</v>
      </c>
      <c r="P86">
        <f t="shared" si="9"/>
        <v>40</v>
      </c>
      <c r="Q86">
        <v>11.428571428571429</v>
      </c>
      <c r="R86">
        <f t="shared" si="12"/>
        <v>2190.0000000000009</v>
      </c>
      <c r="S86" s="11">
        <f t="shared" si="13"/>
        <v>14136.96</v>
      </c>
      <c r="T86">
        <f t="shared" si="10"/>
        <v>14136.96</v>
      </c>
    </row>
    <row r="87" spans="1:20" x14ac:dyDescent="0.25">
      <c r="A87" s="8">
        <v>41384</v>
      </c>
      <c r="B87" s="9"/>
      <c r="C87" s="9"/>
      <c r="D87" s="10">
        <f>IF(ISBLANK(C88),SUM(D88,Consumption(ROW(D87),COLUMN(D87))),$C$1)</f>
        <v>82.857142857142847</v>
      </c>
      <c r="E87" s="11">
        <f t="shared" si="8"/>
        <v>828.57142857142844</v>
      </c>
      <c r="M87" s="23">
        <v>0.53418840492804931</v>
      </c>
      <c r="N87">
        <f t="shared" si="14"/>
        <v>0.53418840492804931</v>
      </c>
      <c r="O87">
        <f t="shared" si="11"/>
        <v>360.32</v>
      </c>
      <c r="P87">
        <f t="shared" si="9"/>
        <v>0</v>
      </c>
      <c r="Q87">
        <v>11.428571428571429</v>
      </c>
      <c r="R87">
        <f t="shared" si="12"/>
        <v>2178.5714285714294</v>
      </c>
      <c r="S87" s="11">
        <f t="shared" si="13"/>
        <v>0</v>
      </c>
      <c r="T87">
        <f t="shared" si="10"/>
        <v>0</v>
      </c>
    </row>
    <row r="88" spans="1:20" x14ac:dyDescent="0.25">
      <c r="A88" s="8">
        <v>41385</v>
      </c>
      <c r="B88" s="9"/>
      <c r="C88" s="9"/>
      <c r="D88" s="10">
        <f>IF(ISBLANK(C89),SUM(D89,Consumption(ROW(D88),COLUMN(D88))),$C$1)</f>
        <v>70.714285714285708</v>
      </c>
      <c r="E88" s="11">
        <f t="shared" si="8"/>
        <v>707.14285714285711</v>
      </c>
      <c r="M88" s="23">
        <v>2.5831583135682896</v>
      </c>
      <c r="N88">
        <f t="shared" si="14"/>
        <v>2.5831583135682896</v>
      </c>
      <c r="O88">
        <f t="shared" si="11"/>
        <v>353.42399999999998</v>
      </c>
      <c r="P88">
        <f t="shared" si="9"/>
        <v>40</v>
      </c>
      <c r="Q88">
        <v>11.428571428571429</v>
      </c>
      <c r="R88">
        <f t="shared" si="12"/>
        <v>2207.1428571428578</v>
      </c>
      <c r="S88" s="11">
        <f t="shared" si="13"/>
        <v>14136.96</v>
      </c>
      <c r="T88">
        <f t="shared" si="10"/>
        <v>14136.96</v>
      </c>
    </row>
    <row r="89" spans="1:20" x14ac:dyDescent="0.25">
      <c r="A89" s="8">
        <v>41386</v>
      </c>
      <c r="B89" s="9"/>
      <c r="C89" s="9"/>
      <c r="D89" s="10">
        <f>IF(ISBLANK(C90),SUM(D90,Consumption(ROW(D89),COLUMN(D89))),$C$1)</f>
        <v>58.571428571428569</v>
      </c>
      <c r="E89" s="11">
        <f t="shared" si="8"/>
        <v>585.71428571428567</v>
      </c>
      <c r="M89" s="23">
        <v>2.5590621300782366</v>
      </c>
      <c r="N89">
        <f t="shared" si="14"/>
        <v>2.5590621300782366</v>
      </c>
      <c r="O89">
        <f t="shared" si="11"/>
        <v>353.42399999999998</v>
      </c>
      <c r="P89">
        <f t="shared" si="9"/>
        <v>40</v>
      </c>
      <c r="Q89">
        <v>11.428571428571429</v>
      </c>
      <c r="R89">
        <f t="shared" si="12"/>
        <v>2235.7142857142862</v>
      </c>
      <c r="S89" s="11">
        <f t="shared" si="13"/>
        <v>14136.96</v>
      </c>
      <c r="T89">
        <f t="shared" si="10"/>
        <v>14136.96</v>
      </c>
    </row>
    <row r="90" spans="1:20" x14ac:dyDescent="0.25">
      <c r="A90" s="8">
        <v>41387</v>
      </c>
      <c r="B90" s="9"/>
      <c r="C90" s="9"/>
      <c r="D90" s="10">
        <f>IF(ISBLANK(C91),SUM(D91,Consumption(ROW(D90),COLUMN(D90))),$C$1)</f>
        <v>46.428571428571431</v>
      </c>
      <c r="E90" s="11">
        <f t="shared" si="8"/>
        <v>464.28571428571433</v>
      </c>
      <c r="M90" s="23">
        <v>3.448530215513208</v>
      </c>
      <c r="N90">
        <f t="shared" si="14"/>
        <v>3.448530215513208</v>
      </c>
      <c r="O90">
        <f t="shared" si="11"/>
        <v>349.976</v>
      </c>
      <c r="P90">
        <f t="shared" si="9"/>
        <v>60</v>
      </c>
      <c r="Q90">
        <v>11.428571428571429</v>
      </c>
      <c r="R90">
        <f t="shared" si="12"/>
        <v>2284.2857142857147</v>
      </c>
      <c r="S90" s="11">
        <f t="shared" si="13"/>
        <v>20998.560000000001</v>
      </c>
      <c r="T90">
        <f t="shared" si="10"/>
        <v>20998.560000000001</v>
      </c>
    </row>
    <row r="91" spans="1:20" x14ac:dyDescent="0.25">
      <c r="A91" s="8">
        <v>41388</v>
      </c>
      <c r="B91" s="9"/>
      <c r="C91" s="9"/>
      <c r="D91" s="10">
        <f>IF(ISBLANK(C92),SUM(D92,Consumption(ROW(D91),COLUMN(D91))),$C$1)</f>
        <v>34.285714285714285</v>
      </c>
      <c r="E91" s="11">
        <f t="shared" si="8"/>
        <v>342.85714285714283</v>
      </c>
      <c r="M91" s="23">
        <v>2.2522526934054925</v>
      </c>
      <c r="N91">
        <f t="shared" si="14"/>
        <v>2.2522526934054925</v>
      </c>
      <c r="O91">
        <f t="shared" si="11"/>
        <v>353.42399999999998</v>
      </c>
      <c r="P91">
        <f t="shared" si="9"/>
        <v>40</v>
      </c>
      <c r="Q91">
        <v>11.428571428571429</v>
      </c>
      <c r="R91">
        <f t="shared" si="12"/>
        <v>2312.8571428571431</v>
      </c>
      <c r="S91" s="11">
        <f t="shared" si="13"/>
        <v>14136.96</v>
      </c>
      <c r="T91">
        <f t="shared" si="10"/>
        <v>14136.96</v>
      </c>
    </row>
    <row r="92" spans="1:20" x14ac:dyDescent="0.25">
      <c r="A92" s="8">
        <v>41389</v>
      </c>
      <c r="B92" s="9"/>
      <c r="C92" s="9"/>
      <c r="D92" s="10">
        <f>IF(ISBLANK(C93),SUM(D93,Consumption(ROW(D92),COLUMN(D92))),$C$1)</f>
        <v>22.142857142857142</v>
      </c>
      <c r="E92" s="11">
        <f t="shared" si="8"/>
        <v>221.42857142857142</v>
      </c>
      <c r="M92" s="23">
        <v>3.2839015998336958</v>
      </c>
      <c r="N92">
        <f t="shared" si="14"/>
        <v>3.2839015998336958</v>
      </c>
      <c r="O92">
        <f t="shared" si="11"/>
        <v>349.976</v>
      </c>
      <c r="P92">
        <f t="shared" si="9"/>
        <v>60</v>
      </c>
      <c r="Q92">
        <v>11.428571428571429</v>
      </c>
      <c r="R92">
        <f t="shared" si="12"/>
        <v>2361.4285714285716</v>
      </c>
      <c r="S92" s="11">
        <f t="shared" si="13"/>
        <v>20998.560000000001</v>
      </c>
      <c r="T92">
        <f t="shared" si="10"/>
        <v>20998.560000000001</v>
      </c>
    </row>
    <row r="93" spans="1:20" x14ac:dyDescent="0.25">
      <c r="A93" s="8">
        <v>41390</v>
      </c>
      <c r="B93" s="9"/>
      <c r="C93" s="9"/>
      <c r="D93" s="10">
        <f>IF(ISBLANK(C94),SUM(D94,Consumption(ROW(D93),COLUMN(D93))),$C$1)</f>
        <v>10</v>
      </c>
      <c r="E93" s="11">
        <f t="shared" si="8"/>
        <v>100</v>
      </c>
      <c r="M93" s="23">
        <v>0.38063716719888019</v>
      </c>
      <c r="N93">
        <f t="shared" si="14"/>
        <v>0.38063716719888019</v>
      </c>
      <c r="O93">
        <f t="shared" si="11"/>
        <v>360.32</v>
      </c>
      <c r="P93">
        <f t="shared" si="9"/>
        <v>0</v>
      </c>
      <c r="Q93">
        <v>11.428571428571429</v>
      </c>
      <c r="R93">
        <f t="shared" si="12"/>
        <v>2350</v>
      </c>
      <c r="S93" s="11">
        <f t="shared" si="13"/>
        <v>0</v>
      </c>
      <c r="T93">
        <f t="shared" si="10"/>
        <v>0</v>
      </c>
    </row>
    <row r="94" spans="1:20" x14ac:dyDescent="0.25">
      <c r="A94" s="8">
        <v>41391</v>
      </c>
      <c r="B94" s="9">
        <v>330</v>
      </c>
      <c r="C94" s="9">
        <v>180</v>
      </c>
      <c r="D94" s="10">
        <f>IF(ISBLANK(C95),SUM(D95,Consumption(ROW(D94),COLUMN(D94))),$C$1)</f>
        <v>10</v>
      </c>
      <c r="E94" s="11">
        <f t="shared" si="8"/>
        <v>59500</v>
      </c>
      <c r="M94" s="23">
        <v>0.36952270770888901</v>
      </c>
      <c r="N94">
        <f t="shared" si="14"/>
        <v>0.36952270770888901</v>
      </c>
      <c r="O94">
        <f t="shared" si="11"/>
        <v>360.32</v>
      </c>
      <c r="P94">
        <f t="shared" si="9"/>
        <v>0</v>
      </c>
      <c r="Q94">
        <v>160</v>
      </c>
      <c r="R94">
        <f t="shared" si="12"/>
        <v>2190</v>
      </c>
      <c r="S94" s="11">
        <f t="shared" si="13"/>
        <v>0</v>
      </c>
      <c r="T94">
        <f t="shared" si="10"/>
        <v>0</v>
      </c>
    </row>
    <row r="95" spans="1:20" ht="15.75" thickBot="1" x14ac:dyDescent="0.3">
      <c r="A95" s="12">
        <v>41392</v>
      </c>
      <c r="B95" s="13">
        <v>350</v>
      </c>
      <c r="C95" s="13">
        <v>45</v>
      </c>
      <c r="D95" s="14">
        <f>IF(ISBLANK(C96),SUM(D96,Consumption(ROW(D95),COLUMN(D95))),$C$1)</f>
        <v>7</v>
      </c>
      <c r="E95" s="15">
        <f t="shared" si="8"/>
        <v>15820</v>
      </c>
      <c r="M95" s="23">
        <v>2.157220224923091</v>
      </c>
      <c r="N95">
        <f t="shared" si="14"/>
        <v>2.157220224923091</v>
      </c>
      <c r="O95">
        <f t="shared" si="11"/>
        <v>353.42399999999998</v>
      </c>
      <c r="P95">
        <f t="shared" si="9"/>
        <v>40</v>
      </c>
      <c r="Q95">
        <v>5</v>
      </c>
      <c r="R95">
        <f t="shared" si="12"/>
        <v>2225</v>
      </c>
      <c r="S95" s="11">
        <f t="shared" si="13"/>
        <v>14136.96</v>
      </c>
      <c r="T95">
        <f t="shared" si="10"/>
        <v>14136.96</v>
      </c>
    </row>
    <row r="96" spans="1:20" ht="15.75" thickBot="1" x14ac:dyDescent="0.3">
      <c r="C96" s="1"/>
    </row>
    <row r="97" spans="5:21" x14ac:dyDescent="0.25">
      <c r="E97" s="2" t="s">
        <v>9</v>
      </c>
      <c r="F97" s="6" t="s">
        <v>8</v>
      </c>
      <c r="G97" s="7" t="s">
        <v>7</v>
      </c>
      <c r="S97" s="2" t="s">
        <v>9</v>
      </c>
      <c r="T97" s="6" t="s">
        <v>8</v>
      </c>
      <c r="U97" s="7" t="s">
        <v>7</v>
      </c>
    </row>
    <row r="98" spans="5:21" ht="15.75" thickBot="1" x14ac:dyDescent="0.3">
      <c r="E98" s="16">
        <f>SUM(E3:E95)</f>
        <v>338340.00000000006</v>
      </c>
      <c r="F98" s="17">
        <f>SUM(D3:D95)*E1</f>
        <v>57170</v>
      </c>
      <c r="G98" s="15">
        <f>SUMPRODUCT(B3:B95,C3:C95)</f>
        <v>281170</v>
      </c>
      <c r="S98" s="16">
        <f>SUM(S3:S95)</f>
        <v>1066961.2799999998</v>
      </c>
      <c r="T98" s="17">
        <f>SUM(R3:R95)*S1</f>
        <v>0</v>
      </c>
      <c r="U98" s="15">
        <f>SUM(T3:T95)</f>
        <v>1042824.96</v>
      </c>
    </row>
  </sheetData>
  <conditionalFormatting sqref="O2:P3 P4:P95">
    <cfRule type="cellIs" dxfId="0" priority="1" operator="greaterThan">
      <formula>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Answer Report 1</vt:lpstr>
      <vt:lpstr>Cement</vt:lpstr>
      <vt:lpstr>Linearity Report 1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Sancheti</dc:creator>
  <cp:lastModifiedBy>Sachin Sancheti</cp:lastModifiedBy>
  <dcterms:created xsi:type="dcterms:W3CDTF">2013-05-10T10:14:23Z</dcterms:created>
  <dcterms:modified xsi:type="dcterms:W3CDTF">2014-08-16T19:14:09Z</dcterms:modified>
</cp:coreProperties>
</file>